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Tổng quan" sheetId="1" r:id="rId5"/>
    <sheet state="visible" name="2. Bộ từ khoá" sheetId="2" r:id="rId6"/>
    <sheet state="visible" name="3. Từ khoá phủ định" sheetId="3" r:id="rId7"/>
    <sheet state="visible" name="4. Hành trình KH" sheetId="4" r:id="rId8"/>
    <sheet state="visible" name="5. Giá thầu &amp; Tối ưu" sheetId="5" r:id="rId9"/>
  </sheets>
  <definedNames>
    <definedName hidden="1" localSheetId="1" name="_xlnm._FilterDatabase">'2. Bộ từ khoá'!$A$1:$M$200</definedName>
  </definedNames>
  <calcPr/>
</workbook>
</file>

<file path=xl/sharedStrings.xml><?xml version="1.0" encoding="utf-8"?>
<sst xmlns="http://schemas.openxmlformats.org/spreadsheetml/2006/main" count="1476" uniqueCount="624">
  <si>
    <t>BỘ TỪ KHOÁ GOOGLE ADS: TRỒNG RĂNG IMPLANT | NHA KHOA PARIS</t>
  </si>
  <si>
    <t>Mục tiêu: tối đa số ca implant chốt được trên mỗi đồng ngân sách. Thứ tự ưu tiên: Doanh thu &gt; Tỷ lệ chuyển đổi &gt; LTV &gt; Thương hiệu.</t>
  </si>
  <si>
    <t>Chú thích: ô nền vàng chữ xanh là giả định đầu vào, thay bằng số thực của NKP. Các ô còn lại là công thức.</t>
  </si>
  <si>
    <t>A. PHÂN BỔ NGÂN SÁCH THEO CHIẾN DỊCH</t>
  </si>
  <si>
    <t>Ngân sách Search/tháng (VND)</t>
  </si>
  <si>
    <t>Ví dụ. Nguồn: giả định, thay bằng ngân sách được duyệt</t>
  </si>
  <si>
    <t>Chiến dịch</t>
  </si>
  <si>
    <t>Ưu tiên</t>
  </si>
  <si>
    <t>Vai trò trong hành trình</t>
  </si>
  <si>
    <t>Tỷ trọng ngân sách</t>
  </si>
  <si>
    <t>Ngân sách/tháng (VND)</t>
  </si>
  <si>
    <t>Ngân sách/ngày (VND)</t>
  </si>
  <si>
    <t>Số từ khoá</t>
  </si>
  <si>
    <t>NKP | Brand | Implant</t>
  </si>
  <si>
    <t>P1</t>
  </si>
  <si>
    <t>Quyết định: chặn đối thủ trên tên NKP</t>
  </si>
  <si>
    <t>NKP | Hot | Giá Implant</t>
  </si>
  <si>
    <t>Sẵn sàng mua: đang so giá</t>
  </si>
  <si>
    <t>NKP | Hot | Địa điểm</t>
  </si>
  <si>
    <t>Sẵn sàng mua: đang chọn nơi làm</t>
  </si>
  <si>
    <t>NKP | Hot | Toàn hàm</t>
  </si>
  <si>
    <t>Ca giá trị cao nhất (All-on-4/6)</t>
  </si>
  <si>
    <t>NKP | Warm | Giải pháp Implant</t>
  </si>
  <si>
    <t>P2</t>
  </si>
  <si>
    <t>Đã chọn implant, chưa chọn nơi</t>
  </si>
  <si>
    <t>NKP | Warm | Hãng trụ</t>
  </si>
  <si>
    <t>So sánh vật liệu và giá theo hãng</t>
  </si>
  <si>
    <t>NKP | Research | Cân nhắc</t>
  </si>
  <si>
    <t>P3</t>
  </si>
  <si>
    <t>Xử lý nỗi sợ, thu lead tư vấn</t>
  </si>
  <si>
    <t>NKP | Cold | Vấn đề mất răng</t>
  </si>
  <si>
    <t>P4</t>
  </si>
  <si>
    <t>Nuôi tệp remarketing</t>
  </si>
  <si>
    <t>NKP | Test | Đối thủ</t>
  </si>
  <si>
    <t>Thử nghiệm giành KH đối thủ</t>
  </si>
  <si>
    <t>Tổng</t>
  </si>
  <si>
    <t>Cấp ưu tiên</t>
  </si>
  <si>
    <t>Quy tắc đấu thầu</t>
  </si>
  <si>
    <t>Thắng vị trí đầu. Không để mất hiển thị vì ngân sách (IS lost budget &lt; 10%)</t>
  </si>
  <si>
    <t>Đấu thầu theo CPA mục tiêu. Mở rộng khi P1 đã bão hoà</t>
  </si>
  <si>
    <t>Giá thầu thấp, có trần CPC. Mục tiêu: lead tư vấn và tệp remarketing</t>
  </si>
  <si>
    <t>Ngân sách cố định. Cắt sau 4 tuần nếu không ra lead đạt chuẩn</t>
  </si>
  <si>
    <t>B. MÔ HÌNH PHỄU: TỪ NGÂN SÁCH ĐẾN DOANH THU</t>
  </si>
  <si>
    <t>Chỉ số</t>
  </si>
  <si>
    <t>Giá trị</t>
  </si>
  <si>
    <t>Ghi chú</t>
  </si>
  <si>
    <t>CPC trung bình (VND)</t>
  </si>
  <si>
    <t>Giả định. Cập nhật từ Keyword Planner hoặc tài khoản thực</t>
  </si>
  <si>
    <t>Tỷ lệ click → lead</t>
  </si>
  <si>
    <t>Giả định. Lead = form + cuộc gọi ≥ 60 giây + chat Zalo có SĐT</t>
  </si>
  <si>
    <t>Tỷ lệ lead → đặt lịch</t>
  </si>
  <si>
    <t>Giả định. Lấy từ Caresoft</t>
  </si>
  <si>
    <t>Tỷ lệ đến khám (show-up)</t>
  </si>
  <si>
    <t>Tỷ lệ chốt ca</t>
  </si>
  <si>
    <t>Giả định. Lấy từ báo cáo tư vấn tại chi nhánh</t>
  </si>
  <si>
    <t>Giá trị ca trung bình (VND)</t>
  </si>
  <si>
    <t>Giả định. Pha trộn ca 1 răng và ca toàn hàm</t>
  </si>
  <si>
    <t>Click</t>
  </si>
  <si>
    <t>Công thức</t>
  </si>
  <si>
    <t>Lead</t>
  </si>
  <si>
    <t>Lịch hẹn</t>
  </si>
  <si>
    <t>Lượt đến khám</t>
  </si>
  <si>
    <t>Ca chốt</t>
  </si>
  <si>
    <t>Doanh thu (VND)</t>
  </si>
  <si>
    <t>CPL (VND)</t>
  </si>
  <si>
    <t>Chi phí / ca chốt (VND)</t>
  </si>
  <si>
    <t>Chỉ số quyết định ngân sách, không phải CPL</t>
  </si>
  <si>
    <t>ROAS</t>
  </si>
  <si>
    <t>C. NGUYÊN TẮC VẬN HÀNH</t>
  </si>
  <si>
    <t>1. Tiền đi theo ý định mua: chỉ chuyển ngân sách xuống P2-P4 khi P1 mất dưới 10% hiển thị do ngân sách.</t>
  </si>
  <si>
    <t>2. Đánh giá bằng chi phí/ca chốt và doanh thu, không bằng CPL. Lead rẻ từ nhóm 'giá rẻ' thường chốt thấp.</t>
  </si>
  <si>
    <t>3. Mỗi truy vấn chỉ vào đúng 1 chiến dịch: dùng từ khoá phủ định chéo (tab 3) để đẩy truy vấn giá về chiến dịch Giá, toàn hàm về chiến dịch Toàn hàm.</t>
  </si>
  <si>
    <t>4. Không chạy Broad match ở giai đoạn đầu. Chỉ mở Broad khi đã import được chuyển đổi offline (lịch hẹn, ca chốt) từ Caresoft.</t>
  </si>
  <si>
    <t>5. Kiểm tra năng lực bác sĩ cấy và slot ghế trước khi tăng ngân sách chiến dịch Toàn hàm.</t>
  </si>
  <si>
    <t>6. Tài khoản Google Ads, tag đo lường và dữ liệu lead thuộc pháp nhân Nha Khoa Paris, không thuộc agency.</t>
  </si>
  <si>
    <t>STT</t>
  </si>
  <si>
    <t>Nhóm quảng cáo</t>
  </si>
  <si>
    <t>Từ khoá</t>
  </si>
  <si>
    <t>Kiểu khớp</t>
  </si>
  <si>
    <t>Giai đoạn hành trình</t>
  </si>
  <si>
    <t>Cạnh tranh dự kiến</t>
  </si>
  <si>
    <t>Landing page</t>
  </si>
  <si>
    <t>Thông điệp / CTA chính</t>
  </si>
  <si>
    <t>Lượng tìm kiếm/tháng (Keyword Planner)</t>
  </si>
  <si>
    <t>CPC đề xuất VND (Keyword Planner)</t>
  </si>
  <si>
    <t>Brand + Implant</t>
  </si>
  <si>
    <t>nha khoa paris implant</t>
  </si>
  <si>
    <t>Exact</t>
  </si>
  <si>
    <t>Quyết định</t>
  </si>
  <si>
    <t>Thấp</t>
  </si>
  <si>
    <t>LP1</t>
  </si>
  <si>
    <t>Đặt lịch khám implant, nhận kế hoạch điều trị</t>
  </si>
  <si>
    <t>Giữ Top IS ≥ 90%. CPC brand rẻ nhất tài khoản</t>
  </si>
  <si>
    <t>nha khoa paris trồng răng</t>
  </si>
  <si>
    <t>trồng răng implant nha khoa paris</t>
  </si>
  <si>
    <t>Phrase</t>
  </si>
  <si>
    <t>giá implant nha khoa paris</t>
  </si>
  <si>
    <t>LP2</t>
  </si>
  <si>
    <t>Báo giá minh bạch theo hãng trụ + trả góp</t>
  </si>
  <si>
    <t>KH đã chọn NKP, chỉ còn so giá: dẫn thẳng trang giá</t>
  </si>
  <si>
    <t>nha khoa paris cấy ghép implant</t>
  </si>
  <si>
    <t>Brand chung</t>
  </si>
  <si>
    <t>nha khoa paris</t>
  </si>
  <si>
    <t>Bác sĩ, chi nhánh, bảo hành</t>
  </si>
  <si>
    <t>Chặn đối thủ đấu thầu tên NKP</t>
  </si>
  <si>
    <t>nha khoa paris hà nội</t>
  </si>
  <si>
    <t>LP3</t>
  </si>
  <si>
    <t>Chi nhánh gần nhất + giờ làm việc</t>
  </si>
  <si>
    <t>nha khoa paris địa chỉ</t>
  </si>
  <si>
    <t>Bật asset địa điểm và cuộc gọi</t>
  </si>
  <si>
    <t>nha khoa paris có tốt không</t>
  </si>
  <si>
    <t>Case thật, bác sĩ, đánh giá KH</t>
  </si>
  <si>
    <t>KH đang kiểm tra uy tín: đưa bằng chứng, không đưa khuyến mãi</t>
  </si>
  <si>
    <t>nha khoa paris review</t>
  </si>
  <si>
    <t>Giá chung</t>
  </si>
  <si>
    <t>giá trồng răng implant</t>
  </si>
  <si>
    <t>Hot</t>
  </si>
  <si>
    <t>Rất cao</t>
  </si>
  <si>
    <t>Nhận báo giá theo tình trạng răng + lịch chụp CT</t>
  </si>
  <si>
    <t>Từ khoá tiền chính: ưu tiên ngân sách cao nhất</t>
  </si>
  <si>
    <t>trồng răng implant giá bao nhiêu</t>
  </si>
  <si>
    <t>chi phí cấy ghép implant</t>
  </si>
  <si>
    <t>Cao</t>
  </si>
  <si>
    <t>bảng giá implant</t>
  </si>
  <si>
    <t>Bảng giá theo hãng trụ, không phát sinh</t>
  </si>
  <si>
    <t>trồng 1 răng implant bao nhiêu tiền</t>
  </si>
  <si>
    <t>Giá trọn gói 1 răng (trụ + abutment + sứ)</t>
  </si>
  <si>
    <t>giá cấy implant 1 răng</t>
  </si>
  <si>
    <t>cấy ghép implant giá</t>
  </si>
  <si>
    <t>Trả góp &amp; ưu đãi</t>
  </si>
  <si>
    <t>trồng răng implant trả góp</t>
  </si>
  <si>
    <t>Trung bình</t>
  </si>
  <si>
    <t>Trả góp, duyệt nhanh, chia nhỏ chi phí</t>
  </si>
  <si>
    <t>Nhóm chốt tốt: rào cản chính là tiền</t>
  </si>
  <si>
    <t>implant trả góp lãi suất 0</t>
  </si>
  <si>
    <t>Chỉ chạy nếu có đối tác tài chính 0%</t>
  </si>
  <si>
    <t>ưu đãi trồng răng implant</t>
  </si>
  <si>
    <t>Ưu đãi có thời hạn + đặt lịch giữ suất</t>
  </si>
  <si>
    <t>khuyến mãi cấy implant</t>
  </si>
  <si>
    <t>Giá rẻ</t>
  </si>
  <si>
    <t>trồng răng implant giá rẻ</t>
  </si>
  <si>
    <t>Gói tiêu chuẩn chất lượng + trả góp</t>
  </si>
  <si>
    <t>Tách riêng để kiểm soát. Đo theo chi phí/ca chốt, không theo CPL</t>
  </si>
  <si>
    <t>implant giá rẻ</t>
  </si>
  <si>
    <t>Không hạ giá trên QC để kéo lead</t>
  </si>
  <si>
    <t>Uy tín / ở đâu</t>
  </si>
  <si>
    <t>trồng răng implant ở đâu tốt</t>
  </si>
  <si>
    <t>Gặp bác sĩ implant tại chi nhánh gần nhất</t>
  </si>
  <si>
    <t>nha khoa implant uy tín</t>
  </si>
  <si>
    <t>Bác sĩ, số ca đã làm, bảo hành</t>
  </si>
  <si>
    <t>địa chỉ trồng răng implant uy tín</t>
  </si>
  <si>
    <t>bác sĩ cấy ghép implant giỏi</t>
  </si>
  <si>
    <t>Hồ sơ bác sĩ + case thật</t>
  </si>
  <si>
    <t>Trigger quyết định: uy tín bác sĩ</t>
  </si>
  <si>
    <t>nha khoa cấy ghép implant</t>
  </si>
  <si>
    <t>Gần đây</t>
  </si>
  <si>
    <t>trồng răng implant gần đây</t>
  </si>
  <si>
    <t>Chi nhánh gần nhất, bấm gọi</t>
  </si>
  <si>
    <t>Bắt buộc bật asset địa điểm</t>
  </si>
  <si>
    <t>nha khoa implant gần đây</t>
  </si>
  <si>
    <t>Hà Nội</t>
  </si>
  <si>
    <t>trồng răng implant hà nội</t>
  </si>
  <si>
    <t>Chi nhánh Hà Nội + bác sĩ</t>
  </si>
  <si>
    <t>Chỉ chạy nhóm tỉnh/thành có chi nhánh</t>
  </si>
  <si>
    <t>cấy ghép implant hà nội</t>
  </si>
  <si>
    <t>nha khoa implant hà nội</t>
  </si>
  <si>
    <t>Mở rộng: trồng răng implant [tên quận]</t>
  </si>
  <si>
    <t>TP.HCM</t>
  </si>
  <si>
    <t>trồng răng implant tphcm</t>
  </si>
  <si>
    <t>Chi nhánh TP.HCM + bác sĩ</t>
  </si>
  <si>
    <t>cấy ghép implant sài gòn</t>
  </si>
  <si>
    <t>nha khoa implant hcm</t>
  </si>
  <si>
    <t>All-on-4 / 6</t>
  </si>
  <si>
    <t>all on 4</t>
  </si>
  <si>
    <t>LP4</t>
  </si>
  <si>
    <t>Tư vấn phục hình toàn hàm 1:1 với bác sĩ</t>
  </si>
  <si>
    <t>Ca giá trị cao nhất: được phép CPC cao hơn nhóm khác</t>
  </si>
  <si>
    <t>all on 6</t>
  </si>
  <si>
    <t>giá all on 4</t>
  </si>
  <si>
    <t>Báo giá toàn hàm trọn gói + trả góp</t>
  </si>
  <si>
    <t>implant all on 4 giá</t>
  </si>
  <si>
    <t>all on 4 bao nhiêu tiền</t>
  </si>
  <si>
    <t>Toàn hàm</t>
  </si>
  <si>
    <t>trồng răng implant toàn hàm</t>
  </si>
  <si>
    <t>cấy implant toàn hàm giá</t>
  </si>
  <si>
    <t>mất răng toàn hàm</t>
  </si>
  <si>
    <t>Warm</t>
  </si>
  <si>
    <t>Giải pháp cố định thay hàm tháo lắp</t>
  </si>
  <si>
    <t>phục hình toàn hàm trên implant</t>
  </si>
  <si>
    <t>hàm giả cố định trên implant</t>
  </si>
  <si>
    <t>Người cao tuổi</t>
  </si>
  <si>
    <t>trồng răng cho người già</t>
  </si>
  <si>
    <t>An toàn cho người lớn tuổi, bác sĩ khám tổng quát trước</t>
  </si>
  <si>
    <t>Người tìm thường là con cái: thông điệp cho người mua hộ</t>
  </si>
  <si>
    <t>người già có trồng implant được không</t>
  </si>
  <si>
    <t>Research</t>
  </si>
  <si>
    <t>làm răng cho bố mẹ</t>
  </si>
  <si>
    <t>Món quà ăn nhai cho bố mẹ + trả góp</t>
  </si>
  <si>
    <t>Test mạnh dịp lễ, Tết</t>
  </si>
  <si>
    <t>Implant chung</t>
  </si>
  <si>
    <t>trồng răng implant</t>
  </si>
  <si>
    <t>LP5</t>
  </si>
  <si>
    <t>Xem case thật tương tự + đặt lịch khám</t>
  </si>
  <si>
    <t>Volume lớn nhất: xem search terms hằng ngày tuần đầu</t>
  </si>
  <si>
    <t>cấy ghép implant</t>
  </si>
  <si>
    <t>cấy răng implant</t>
  </si>
  <si>
    <t>răng implant</t>
  </si>
  <si>
    <t>cấy trụ implant</t>
  </si>
  <si>
    <t>Theo vị trí răng</t>
  </si>
  <si>
    <t>trồng răng hàm</t>
  </si>
  <si>
    <t>Phục hồi ăn nhai răng hàm, case thật</t>
  </si>
  <si>
    <t>trồng răng cửa</t>
  </si>
  <si>
    <t>Răng cửa thẩm mỹ tự nhiên, case thật</t>
  </si>
  <si>
    <t>Cạnh tranh với răng sứ/cầu răng: nêu lý do chọn implant</t>
  </si>
  <si>
    <t>trồng răng số 6</t>
  </si>
  <si>
    <t>cấy implant răng hàm</t>
  </si>
  <si>
    <t>mất 1 răng hàm</t>
  </si>
  <si>
    <t>Kỹ thuật</t>
  </si>
  <si>
    <t>implant tức thì</t>
  </si>
  <si>
    <t>Điều kiện làm implant tức thì: bác sĩ đánh giá qua CT</t>
  </si>
  <si>
    <t>Không hứa 'có răng trong ngày' cho mọi ca</t>
  </si>
  <si>
    <t>cấy implant ngay sau nhổ răng</t>
  </si>
  <si>
    <t>ghép xương cấy implant</t>
  </si>
  <si>
    <t>Ca khó: tiêu xương vẫn làm được, bác sĩ chuyên sâu</t>
  </si>
  <si>
    <t>Ca khó thường giá trị cao hơn</t>
  </si>
  <si>
    <t>nâng xoang cấy implant</t>
  </si>
  <si>
    <t>Theo hãng</t>
  </si>
  <si>
    <t>implant straumann</t>
  </si>
  <si>
    <t>LP6</t>
  </si>
  <si>
    <t>So sánh trụ và giá theo hãng</t>
  </si>
  <si>
    <t>Chỉ chạy hãng NKP đang dùng thật</t>
  </si>
  <si>
    <t>giá implant straumann</t>
  </si>
  <si>
    <t>Giá theo hãng, có thẻ bảo hành chính hãng</t>
  </si>
  <si>
    <t>implant nobel biocare</t>
  </si>
  <si>
    <t>implant osstem</t>
  </si>
  <si>
    <t>implant dentium</t>
  </si>
  <si>
    <t>So sánh trụ</t>
  </si>
  <si>
    <t>trụ implant loại nào tốt</t>
  </si>
  <si>
    <t>Bác sĩ tư vấn trụ phù hợp tình trạng xương và ngân sách</t>
  </si>
  <si>
    <t>so sánh các loại trụ implant</t>
  </si>
  <si>
    <t>So sánh giải pháp</t>
  </si>
  <si>
    <t>nên trồng implant hay làm cầu răng</t>
  </si>
  <si>
    <t>LP7</t>
  </si>
  <si>
    <t>So sánh implant và cầu răng, hỏi bác sĩ qua Zalo</t>
  </si>
  <si>
    <t>Mục tiêu: lead tư vấn + tệp remarketing</t>
  </si>
  <si>
    <t>implant hay cầu răng sứ</t>
  </si>
  <si>
    <t>implant hay hàm tháo lắp</t>
  </si>
  <si>
    <t>So sánh implant và hàm tháo lắp, hỏi bác sĩ qua Zalo</t>
  </si>
  <si>
    <t>Người dùng hàm tháo lắp: ứng viên toàn hàm</t>
  </si>
  <si>
    <t>Lo ngại</t>
  </si>
  <si>
    <t>trồng răng implant có đau không</t>
  </si>
  <si>
    <t>Quy trình gây tê, bác sĩ giải thích, case thật</t>
  </si>
  <si>
    <t>Nỗi sợ số 1: không dùng chữ 'không đau 100%'</t>
  </si>
  <si>
    <t>cấy implant có nguy hiểm không</t>
  </si>
  <si>
    <t>Quy trình an toàn, chụp CT trước khi cấy</t>
  </si>
  <si>
    <t>biến chứng cấy ghép implant</t>
  </si>
  <si>
    <t>Có thể là KH bị biến chứng nơi khác: lead sửa ca</t>
  </si>
  <si>
    <t>implant dùng được bao lâu</t>
  </si>
  <si>
    <t>Bảo hành, chăm sóc sau cấy</t>
  </si>
  <si>
    <t>Quy trình</t>
  </si>
  <si>
    <t>quy trình trồng răng implant</t>
  </si>
  <si>
    <t>Các bước, thời gian, số lần hẹn</t>
  </si>
  <si>
    <t>trồng implant mất bao lâu</t>
  </si>
  <si>
    <t>tiểu đường có trồng implant được không</t>
  </si>
  <si>
    <t>Bác sĩ đánh giá bệnh nền trước khi cấy</t>
  </si>
  <si>
    <t>Thường người lớn tuổi: gắn tag toàn hàm trong CRM</t>
  </si>
  <si>
    <t>Mất răng</t>
  </si>
  <si>
    <t>mất răng phải làm sao</t>
  </si>
  <si>
    <t>Cold</t>
  </si>
  <si>
    <t>LP8</t>
  </si>
  <si>
    <t>Kiểm tra tình trạng mất răng trong 1 phút</t>
  </si>
  <si>
    <t>Mục tiêu chính: nuôi tệp remarketing</t>
  </si>
  <si>
    <t>mất răng lâu năm có trồng được không</t>
  </si>
  <si>
    <t>hậu quả mất răng lâu năm</t>
  </si>
  <si>
    <t>Mất răng gây tiêu xương: kiểm tra sớm</t>
  </si>
  <si>
    <t>nhổ răng xong bao lâu thì trồng implant</t>
  </si>
  <si>
    <t>Thời điểm trồng răng phù hợp, đặt lịch khám</t>
  </si>
  <si>
    <t>Ý định cao hơn nhóm: theo dõi, có thể nâng lên P2</t>
  </si>
  <si>
    <t>Hàm tháo lắp</t>
  </si>
  <si>
    <t>răng giả tháo lắp bị lỏng</t>
  </si>
  <si>
    <t>Thay hàm tháo lắp bằng hàm cố định</t>
  </si>
  <si>
    <t>Ứng viên toàn hàm giá trị cao: dẫn LP4</t>
  </si>
  <si>
    <t>hàm tháo lắp bị đau</t>
  </si>
  <si>
    <t>tiêu xương hàm</t>
  </si>
  <si>
    <t>Tiêu xương vẫn có giải pháp cố định</t>
  </si>
  <si>
    <t>Đối thủ</t>
  </si>
  <si>
    <t>[tên đối thủ 1] implant</t>
  </si>
  <si>
    <t>Báo giá minh bạch + bác sĩ chuyên sâu</t>
  </si>
  <si>
    <t>Không dùng tên đối thủ trong nội dung QC. Dừng sau 4 tuần nếu CPL &gt; 1,5× mục tiêu</t>
  </si>
  <si>
    <t>[tên đối thủ 1] trồng răng giá</t>
  </si>
  <si>
    <t>[tên đối thủ 2] implant</t>
  </si>
  <si>
    <t>Nhóm</t>
  </si>
  <si>
    <t>Từ khoá phủ định</t>
  </si>
  <si>
    <t>Áp dụng ở</t>
  </si>
  <si>
    <t>Lý do</t>
  </si>
  <si>
    <t>A. Danh sách chung (cấp tài khoản: NKP_Neg_Chung)</t>
  </si>
  <si>
    <t>Học / nghề nghiệp</t>
  </si>
  <si>
    <t>khoá học</t>
  </si>
  <si>
    <t>Toàn tài khoản</t>
  </si>
  <si>
    <t>Bác sĩ, sinh viên tìm khoá học</t>
  </si>
  <si>
    <t>học cấy ghép</t>
  </si>
  <si>
    <t>đào tạo</t>
  </si>
  <si>
    <t>Broad</t>
  </si>
  <si>
    <t>Không phải bệnh nhân</t>
  </si>
  <si>
    <t>tuyển dụng</t>
  </si>
  <si>
    <t>Người tìm việc</t>
  </si>
  <si>
    <t>việc làm</t>
  </si>
  <si>
    <t>lương</t>
  </si>
  <si>
    <t>giáo trình</t>
  </si>
  <si>
    <t>Tài liệu học thuật</t>
  </si>
  <si>
    <t>luận văn</t>
  </si>
  <si>
    <t>pdf</t>
  </si>
  <si>
    <t>Khác dịch vụ</t>
  </si>
  <si>
    <t>implant ngực</t>
  </si>
  <si>
    <t>Implant ngành thẩm mỹ ngực</t>
  </si>
  <si>
    <t>nâng ngực</t>
  </si>
  <si>
    <t>ốc tai</t>
  </si>
  <si>
    <t>Implant tai mũi họng</t>
  </si>
  <si>
    <t>cấy que</t>
  </si>
  <si>
    <t>Cấy que tránh thai</t>
  </si>
  <si>
    <t>cấy chỉ</t>
  </si>
  <si>
    <t>Đông y</t>
  </si>
  <si>
    <t>cấy tóc</t>
  </si>
  <si>
    <t>Thẩm mỹ tóc</t>
  </si>
  <si>
    <t>chip</t>
  </si>
  <si>
    <t>Công nghệ, không liên quan</t>
  </si>
  <si>
    <t>chó</t>
  </si>
  <si>
    <t>Thú y</t>
  </si>
  <si>
    <t>mèo</t>
  </si>
  <si>
    <t>B2B / vật tư</t>
  </si>
  <si>
    <t>mua trụ</t>
  </si>
  <si>
    <t>Phòng khám mua vật tư</t>
  </si>
  <si>
    <t>đại lý</t>
  </si>
  <si>
    <t>Phân phối vật tư</t>
  </si>
  <si>
    <t>phân phối</t>
  </si>
  <si>
    <t>nhà cung cấp</t>
  </si>
  <si>
    <t>dụng cụ</t>
  </si>
  <si>
    <t>Bộ dụng cụ phẫu thuật</t>
  </si>
  <si>
    <t>máy cấy</t>
  </si>
  <si>
    <t>Thiết bị</t>
  </si>
  <si>
    <t>labo</t>
  </si>
  <si>
    <t>Phòng kỹ thuật nha khoa</t>
  </si>
  <si>
    <t>Chất lượng thấp</t>
  </si>
  <si>
    <t>miễn phí</t>
  </si>
  <si>
    <t>Bỏ dòng này nếu NKP chạy ưu đãi chụp CT miễn phí</t>
  </si>
  <si>
    <t>từ thiện</t>
  </si>
  <si>
    <t>Không có khả năng chi trả</t>
  </si>
  <si>
    <t>tự làm</t>
  </si>
  <si>
    <t>DIY</t>
  </si>
  <si>
    <t>tại nhà</t>
  </si>
  <si>
    <t>bảo hiểm y tế</t>
  </si>
  <si>
    <t>BHYT không chi trả implant: kỳ vọng sai</t>
  </si>
  <si>
    <t>bhyt</t>
  </si>
  <si>
    <t>Ngoài vùng phục vụ</t>
  </si>
  <si>
    <t>[tỉnh/thành không có chi nhánh]</t>
  </si>
  <si>
    <t>Show-up thấp khi KH ở xa. Điền theo mạng lưới chi nhánh</t>
  </si>
  <si>
    <t>Danh tiếng</t>
  </si>
  <si>
    <t>lừa đảo</t>
  </si>
  <si>
    <t>Chiến dịch non-brand</t>
  </si>
  <si>
    <t>Không phủ định ở Brand: cần chiếm vị trí trả lời khi KH kiểm tra uy tín</t>
  </si>
  <si>
    <t>bóc phốt</t>
  </si>
  <si>
    <t>Như trên</t>
  </si>
  <si>
    <t>B. Phủ định chéo (điều hướng truy vấn về đúng chiến dịch)</t>
  </si>
  <si>
    <t>Đẩy truy vấn giá về chiến dịch Giá</t>
  </si>
  <si>
    <t>giá</t>
  </si>
  <si>
    <t>Warm | Giải pháp, Warm | Hãng trụ (nhóm Theo hãng, trừ từ khoá có 'giá'), Research, Cold, Hot | Địa điểm</t>
  </si>
  <si>
    <t>Truy vấn có 'giá' phải vào LP2, nơi chuyển đổi cao nhất</t>
  </si>
  <si>
    <t>bao nhiêu tiền</t>
  </si>
  <si>
    <t>Warm | Giải pháp, Research, Cold, Hot | Địa điểm</t>
  </si>
  <si>
    <t>chi phí</t>
  </si>
  <si>
    <t>bảng giá</t>
  </si>
  <si>
    <t>Đẩy truy vấn toàn hàm về chiến dịch Toàn hàm</t>
  </si>
  <si>
    <t>toàn hàm</t>
  </si>
  <si>
    <t>Hot | Giá, Hot | Địa điểm, Warm | Giải pháp, Research</t>
  </si>
  <si>
    <t>Ca giá trị cao cần LP4 và kịch bản tư vấn riêng</t>
  </si>
  <si>
    <t>all on</t>
  </si>
  <si>
    <t>người già</t>
  </si>
  <si>
    <t>Warm | Giải pháp, Research</t>
  </si>
  <si>
    <t>tháo lắp</t>
  </si>
  <si>
    <t>Warm | Giải pháp</t>
  </si>
  <si>
    <t>Như trên (giữ ở Research nhóm So sánh)</t>
  </si>
  <si>
    <t>Đẩy truy vấn địa điểm về chiến dịch Địa điểm</t>
  </si>
  <si>
    <t>ở đâu</t>
  </si>
  <si>
    <t>Truy vấn chọn nơi cần LP3 có chi nhánh, bác sĩ</t>
  </si>
  <si>
    <t>gần đây</t>
  </si>
  <si>
    <t>uy tín</t>
  </si>
  <si>
    <t>hà nội</t>
  </si>
  <si>
    <t>tphcm</t>
  </si>
  <si>
    <t>Đẩy truy vấn brand về chiến dịch Brand</t>
  </si>
  <si>
    <t>Tất cả chiến dịch non-brand</t>
  </si>
  <si>
    <t>Giữ số liệu non-brand sạch, không để brand làm đẹp CPA</t>
  </si>
  <si>
    <t>Tách nhóm giá rẻ</t>
  </si>
  <si>
    <t>rẻ</t>
  </si>
  <si>
    <t>Hot | Giá: nhóm Giá chung, Trả góp &amp; ưu đãi (cấp nhóm QC)</t>
  </si>
  <si>
    <t>Để truy vấn 'rẻ' chỉ vào nhóm Giá rẻ, đo riêng chất lượng</t>
  </si>
  <si>
    <t>C. Quy trình cập nhật</t>
  </si>
  <si>
    <t>Tuần 1-2: xem báo cáo Cụm từ tìm kiếm hằng ngày. Từ tuần 3: 2 lần/tuần. Thêm phủ định mới vào đúng nhóm trên và ghi lý do.</t>
  </si>
  <si>
    <t>Giai đoạn</t>
  </si>
  <si>
    <t>Tâm lý chính</t>
  </si>
  <si>
    <t>Từ khoá đại diện</t>
  </si>
  <si>
    <t>Thông điệp quảng cáo</t>
  </si>
  <si>
    <t>Chuyển đổi đo lường</t>
  </si>
  <si>
    <t>Hành động sau lead (Caresoft)</t>
  </si>
  <si>
    <t>KPI giai đoạn</t>
  </si>
  <si>
    <t>Bước tiếp theo</t>
  </si>
  <si>
    <t>1. Cold: nhận biết vấn đề</t>
  </si>
  <si>
    <t>Chưa biết implant. Lo ăn nhai kém, ngại chỗ trống</t>
  </si>
  <si>
    <t>Cold | Vấn đề mất răng</t>
  </si>
  <si>
    <t>Mất răng lâu gây tiêu xương. Kiểm tra sớm để giữ xương hàm</t>
  </si>
  <si>
    <t>Hoàn thành quiz, để lại SĐT</t>
  </si>
  <si>
    <t>Tag Cold-Mất răng. Zalo nội dung giáo dục 3 lần trong 14 ngày</t>
  </si>
  <si>
    <t>Chi phí/quiz, % quiz thành lead</t>
  </si>
  <si>
    <t>Remarketing (RLSA) sang Research và Warm</t>
  </si>
  <si>
    <t>2. Consideration: tìm hiểu, so sánh</t>
  </si>
  <si>
    <t>Sợ đau, sợ biến chứng, sợ chọn sai bác sĩ</t>
  </si>
  <si>
    <t>Research | Cân nhắc; Warm | Hãng trụ</t>
  </si>
  <si>
    <t>Bác sĩ trả lời trực tiếp, quy trình rõ từng bước, case thật</t>
  </si>
  <si>
    <t>LP7, LP6</t>
  </si>
  <si>
    <t>Form hỏi bác sĩ, bấm Zalo</t>
  </si>
  <si>
    <t>Gọi trong 15 phút. Gửi case tương tự tình trạng KH</t>
  </si>
  <si>
    <t>Lead → lịch hẹn</t>
  </si>
  <si>
    <t>Mời chụp CT đánh giá xương</t>
  </si>
  <si>
    <t>3. Warm: đã chọn implant</t>
  </si>
  <si>
    <t>Đang so nơi làm và bác sĩ</t>
  </si>
  <si>
    <t>Warm | Giải pháp Implant; Toàn hàm (Người cao tuổi)</t>
  </si>
  <si>
    <t>Bác sĩ chuyên sâu implant, case thật, bảo hành chính hãng</t>
  </si>
  <si>
    <t>Form đặt lịch, cuộc gọi ≥ 60 giây</t>
  </si>
  <si>
    <t>Gọi trong 5 phút. Đặt lịch khám + chụp CT</t>
  </si>
  <si>
    <t>Lead → lịch hẹn ≥ 45%</t>
  </si>
  <si>
    <t>Xác nhận lịch</t>
  </si>
  <si>
    <t>4. Hot: sẵn sàng mua</t>
  </si>
  <si>
    <t>So giá, tìm nơi gần, cần trả góp</t>
  </si>
  <si>
    <t>Hot | Giá; Hot | Địa điểm; Hot | Toàn hàm</t>
  </si>
  <si>
    <t>giá trồng răng implant; all on 4</t>
  </si>
  <si>
    <t>Giá minh bạch theo hãng, trả góp, ưu đãi có thời hạn</t>
  </si>
  <si>
    <t>LP2, LP3, LP4</t>
  </si>
  <si>
    <t>Cuộc gọi ≥ 60 giây, form đặt lịch</t>
  </si>
  <si>
    <t>Gọi trong 5 phút. Nhắc lịch 24h và 2h trước giờ hẹn</t>
  </si>
  <si>
    <t>Show-up ≥ 65%</t>
  </si>
  <si>
    <t>Khám và tư vấn tại chi nhánh</t>
  </si>
  <si>
    <t>5. Quyết định: kiểm tra thương hiệu</t>
  </si>
  <si>
    <t>Đã biết NKP, kiểm tra uy tín lần cuối</t>
  </si>
  <si>
    <t>Brand | Implant</t>
  </si>
  <si>
    <t>Bác sĩ, chi nhánh, cam kết bảo hành</t>
  </si>
  <si>
    <t>Đặt lịch</t>
  </si>
  <si>
    <t>Ưu tiên gọi trước mọi lead khác</t>
  </si>
  <si>
    <t>Top IS brand ≥ 90%</t>
  </si>
  <si>
    <t>Khám</t>
  </si>
  <si>
    <t>6. Khám và chốt (offline)</t>
  </si>
  <si>
    <t>Lo tổng chi phí, cần người nhà đồng ý</t>
  </si>
  <si>
    <t>Không chạy QC</t>
  </si>
  <si>
    <t>Kế hoạch điều trị in, báo giá trọn gói, phương án trả góp</t>
  </si>
  <si>
    <t>Phòng tư vấn</t>
  </si>
  <si>
    <t>Ca chốt + doanh thu (import offline vào Google Ads qua GCLID)</t>
  </si>
  <si>
    <t>Chưa chốt: follow-up D1, D3, D7, D30. Mời người nhà cùng tư vấn</t>
  </si>
  <si>
    <t>Tỷ lệ chốt, giá trị ca</t>
  </si>
  <si>
    <t>Điều trị</t>
  </si>
  <si>
    <t>7. Sau implant: LTV và giới thiệu</t>
  </si>
  <si>
    <t>Hài lòng, cần chăm sóc dài hạn</t>
  </si>
  <si>
    <t>CRM (không dùng Search)</t>
  </si>
  <si>
    <t>Chăm sóc trụ, ưu đãi người thân</t>
  </si>
  <si>
    <t>Zalo OA</t>
  </si>
  <si>
    <t>Tái khám, lượt giới thiệu</t>
  </si>
  <si>
    <t>Tái khám 6 tháng, bọc sứ răng kế cận, cạo vôi định kỳ, chương trình giới thiệu người thân</t>
  </si>
  <si>
    <t>Doanh thu tái mua/KH, tỷ lệ giới thiệu</t>
  </si>
  <si>
    <t>Cross-sell: răng sứ, chỉnh nha cho con cháu, dịch vụ khác trong hệ sinh thái HCI</t>
  </si>
  <si>
    <t>LANDING PAGE</t>
  </si>
  <si>
    <t>Nội dung bắt buộc</t>
  </si>
  <si>
    <t>CTA chính</t>
  </si>
  <si>
    <t>LP1: Implant thương hiệu NKP</t>
  </si>
  <si>
    <t>Bác sĩ implant, số ca, chi nhánh, bảo hành, đánh giá KH</t>
  </si>
  <si>
    <t>Đặt lịch khám</t>
  </si>
  <si>
    <t>LP2: Bảng giá + trả góp</t>
  </si>
  <si>
    <t>Giá theo hãng trụ, gồm những gì, trả góp, ưu đãi có hạn</t>
  </si>
  <si>
    <t>Nhận báo giá theo tình trạng</t>
  </si>
  <si>
    <t>LP3: Chi nhánh + bác sĩ</t>
  </si>
  <si>
    <t>Bản đồ, giờ làm việc, hồ sơ bác sĩ từng chi nhánh, case thật</t>
  </si>
  <si>
    <t>Gọi chi nhánh gần nhất</t>
  </si>
  <si>
    <t>LP4: Toàn hàm All-on-4/6</t>
  </si>
  <si>
    <t>Trước/sau ca toàn hàm, quy trình, báo giá trọn gói, trả góp, thông điệp cho con cái mua hộ</t>
  </si>
  <si>
    <t>Tư vấn 1:1 với bác sĩ</t>
  </si>
  <si>
    <t>LP5: Implant đơn lẻ</t>
  </si>
  <si>
    <t>Case theo vị trí răng, quy trình, thời gian, bảo hành</t>
  </si>
  <si>
    <t>Đặt lịch khám + chụp CT</t>
  </si>
  <si>
    <t>LP6: So sánh hãng trụ</t>
  </si>
  <si>
    <t>Bảng so sánh các hãng NKP đang dùng, giá, bảo hành</t>
  </si>
  <si>
    <t>Tư vấn trụ phù hợp</t>
  </si>
  <si>
    <t>LP7: Hỏi đáp bác sĩ</t>
  </si>
  <si>
    <t>FAQ: đau không, bao lâu, bệnh nền, so sánh cầu răng</t>
  </si>
  <si>
    <t>Hỏi bác sĩ qua Zalo</t>
  </si>
  <si>
    <t>LP8: Quiz tình trạng mất răng</t>
  </si>
  <si>
    <t>5 câu hỏi, kết quả gợi ý giải pháp, thu SĐT ở bước cuối</t>
  </si>
  <si>
    <t>Nhận kết quả và tư vấn</t>
  </si>
  <si>
    <t>A. CHẤM ĐIỂM ƯU TIÊN CHIẾN DỊCH</t>
  </si>
  <si>
    <t>Điểm = Ý định mua × Giá trị ca × Khả năng chốt (thang 1-5). Điểm ban đầu là đánh giá chuyên môn, cập nhật hằng tháng bằng tỷ lệ chốt thực tế từ Caresoft.</t>
  </si>
  <si>
    <t>Ý định mua (1-5)</t>
  </si>
  <si>
    <t>Giá trị ca (1-5)</t>
  </si>
  <si>
    <t>Khả năng chốt (1-5)</t>
  </si>
  <si>
    <t>Điểm ưu tiên</t>
  </si>
  <si>
    <t>Xếp hạng</t>
  </si>
  <si>
    <t>Chiến lược giá thầu khởi đầu</t>
  </si>
  <si>
    <t>Chỉ tiêu cạnh tranh</t>
  </si>
  <si>
    <t>Target Impression Share (đầu trang)</t>
  </si>
  <si>
    <t>Top IS ≥ 90%</t>
  </si>
  <si>
    <t>Max Conversions → tCPA</t>
  </si>
  <si>
    <t>Top IS ≥ 60%</t>
  </si>
  <si>
    <t>Max Conversions → Max Conversion Value</t>
  </si>
  <si>
    <t>Top IS ≥ 60%, chấp nhận CPC cao hơn nhóm Giá</t>
  </si>
  <si>
    <t>tCPA khi đủ dữ liệu</t>
  </si>
  <si>
    <t>Không đặt chỉ tiêu IS</t>
  </si>
  <si>
    <t>Max Clicks có trần CPC</t>
  </si>
  <si>
    <t>Max Clicks trần CPC thấp</t>
  </si>
  <si>
    <t>Manual CPC</t>
  </si>
  <si>
    <t>Không đua vị trí</t>
  </si>
  <si>
    <t>B. NGƯỠNG QUẢN TRỊ GIÁ THẦU</t>
  </si>
  <si>
    <t>Giá trị (VND)</t>
  </si>
  <si>
    <t>CPL mục tiêu</t>
  </si>
  <si>
    <t>Lấy từ mô hình phễu tab 1</t>
  </si>
  <si>
    <t>Chi phí / ca chốt mục tiêu</t>
  </si>
  <si>
    <t>Giá trị gán cho 1 lịch hẹn</t>
  </si>
  <si>
    <t>Dùng khi import chuyển đổi offline (Pha 3)</t>
  </si>
  <si>
    <t>Giá trị gán cho 1 lead</t>
  </si>
  <si>
    <t>Quy tắc</t>
  </si>
  <si>
    <t>Hệ số</t>
  </si>
  <si>
    <t>Ngưỡng (VND)</t>
  </si>
  <si>
    <t>Hành động</t>
  </si>
  <si>
    <t>Từ khoá chi tiêu vượt ngưỡng mà 0 lead</t>
  </si>
  <si>
    <t>Tạm dừng từ khoá, kiểm tra search terms và LP</t>
  </si>
  <si>
    <t>CPL chiến dịch vượt ngưỡng 7 ngày liên tục</t>
  </si>
  <si>
    <t>Giảm tCPA/giá thầu 15%, rà lại phủ định</t>
  </si>
  <si>
    <t>CPL dưới ngưỡng và mất IS do ngân sách &gt; 20%</t>
  </si>
  <si>
    <t>Tăng ngân sách 20%, tối đa 1 lần/7 ngày</t>
  </si>
  <si>
    <t>Chi phí/ca chốt vượt ngưỡng 30 ngày</t>
  </si>
  <si>
    <t>Rà chất lượng lead theo từ khoá cùng Sales, cắt nhóm kém</t>
  </si>
  <si>
    <t>C. LỘ TRÌNH CHIẾN LƯỢC GIÁ THẦU 3 PHA</t>
  </si>
  <si>
    <t>Pha</t>
  </si>
  <si>
    <t>Thời gian</t>
  </si>
  <si>
    <t>Điều kiện chuyển pha</t>
  </si>
  <si>
    <t>Chiến lược giá thầu</t>
  </si>
  <si>
    <t>Chuyển đổi tối ưu</t>
  </si>
  <si>
    <t>Việc bắt buộc</t>
  </si>
  <si>
    <t>Pha 1: Học</t>
  </si>
  <si>
    <t>Tuần 1-3</t>
  </si>
  <si>
    <t>Bắt đầu</t>
  </si>
  <si>
    <t>P1: Max Conversions chưa đặt tCPA. Brand: Target IS. P3-P4: Max Clicks có trần CPC</t>
  </si>
  <si>
    <t>Lead (form, cuộc gọi ≥ 60 giây, Zalo có SĐT)</t>
  </si>
  <si>
    <t>Xem search terms hằng ngày, kiểm tra tag, ghi GCLID vào Caresoft</t>
  </si>
  <si>
    <t>Pha 2: Ổn định</t>
  </si>
  <si>
    <t>Tuần 4-8</t>
  </si>
  <si>
    <t>≥ 30 chuyển đổi/30 ngày/chiến dịch</t>
  </si>
  <si>
    <t>tCPA = CPL thực tế × 1,1. Mỗi lần chỉnh ±15%, cách nhau ≥ 7 ngày</t>
  </si>
  <si>
    <t>Lead + Lịch hẹn</t>
  </si>
  <si>
    <t>Import lịch hẹn từ Caresoft hằng ngày</t>
  </si>
  <si>
    <t>Pha 3: Tối ưu doanh thu</t>
  </si>
  <si>
    <t>Từ tuần 9</t>
  </si>
  <si>
    <t>Đủ dữ liệu lịch hẹn và ca chốt có GCLID</t>
  </si>
  <si>
    <t>Max Conversion Value / tROAS với giá trị ở mục B</t>
  </si>
  <si>
    <t>Lịch hẹn, Đến khám, Ca chốt + doanh thu</t>
  </si>
  <si>
    <t>Thử Broad match + audience signal ở 1 chiến dịch, so với Phrase/Exact</t>
  </si>
  <si>
    <t>D. QUY TẮC CẠNH TRANH</t>
  </si>
  <si>
    <t>Hạng mục</t>
  </si>
  <si>
    <t>Brand</t>
  </si>
  <si>
    <t>Giữ Top IS ≥ 90%. Nếu Auction Insights cho thấy đối thủ đấu thầu tên NKP, nâng trần CPC brand ngay.</t>
  </si>
  <si>
    <t>Hot (Giá, Địa điểm)</t>
  </si>
  <si>
    <t>Top IS ≥ 60%. Xem Auction Insights hằng tuần. Không đua vị trí 1 khi CPL vượt ngưỡng mục B.</t>
  </si>
  <si>
    <t>Được chấp nhận CPL cao hơn các chiến dịch khác vì giá trị ca cao hơn nhiều lần. Đánh giá bằng ROAS, không bằng CPL.</t>
  </si>
  <si>
    <t>Lịch chạy</t>
  </si>
  <si>
    <t>Dồn ngân sách vào giờ tổng đài trực. Ngoài giờ chỉ nhận form và gọi lại trước 9h sáng.</t>
  </si>
  <si>
    <t>Vị trí</t>
  </si>
  <si>
    <t>Nhắm bán kính quanh chi nhánh, chọn 'Người ở hoặc thường xuyên ở'. Loại vùng xa có show-up thấp.</t>
  </si>
  <si>
    <t>Mobile: bật asset cuộc gọi và địa điểm. Cuộc gọi ≥ 60 giây tính là chuyển đổi.</t>
  </si>
  <si>
    <t>Mạng hiển thị</t>
  </si>
  <si>
    <t>Tắt Search Partners và Display trên mọi chiến dịch Search.</t>
  </si>
  <si>
    <t>Đối tượng</t>
  </si>
  <si>
    <t>Thêm audience dạng Observation: đã vào LP chưa để lead, lead chưa chốt. Dùng làm tín hiệu cho Smart Bidding.</t>
  </si>
  <si>
    <t>Mùa vụ</t>
  </si>
  <si>
    <t>Đẩy ngân sách T10 và T12 (Việt kiều về Tết), giảm giữa T8-T9. Kiểm chứng bằng dữ liệu NKP các năm trước.</t>
  </si>
  <si>
    <t>Tốc độ phản hồi</t>
  </si>
  <si>
    <t>Lead Hot gọi trong 5 phút. Nếu tổng đài quá tải ở khung giờ nào, giảm ngân sách khung đó thay vì để lead nguội.</t>
  </si>
  <si>
    <t>E. KẾ HOẠCH A/B TEST</t>
  </si>
  <si>
    <t>Test</t>
  </si>
  <si>
    <t>Biến thể A</t>
  </si>
  <si>
    <t>Biến thể B</t>
  </si>
  <si>
    <t>Chỉ số quyết định</t>
  </si>
  <si>
    <t>Thời gian tối thiểu</t>
  </si>
  <si>
    <t>Giá trên quảng cáo</t>
  </si>
  <si>
    <t>Có 'Từ X triệu/trụ'</t>
  </si>
  <si>
    <t>Không ghi giá</t>
  </si>
  <si>
    <t>Chi phí/ca chốt (không chỉ CTR)</t>
  </si>
  <si>
    <t>4 tuần</t>
  </si>
  <si>
    <t>CTA</t>
  </si>
  <si>
    <t>Nhận báo giá</t>
  </si>
  <si>
    <t>Chụp CT + kế hoạch điều trị</t>
  </si>
  <si>
    <t>3 tuần</t>
  </si>
  <si>
    <t>Bằng chứng trên LP</t>
  </si>
  <si>
    <t>Video bác sĩ</t>
  </si>
  <si>
    <t>Ảnh case trước/sau</t>
  </si>
  <si>
    <t>CVR landing page</t>
  </si>
  <si>
    <t>Form</t>
  </si>
  <si>
    <t>2 trường (tên, SĐT)</t>
  </si>
  <si>
    <t>4 trường (+ số răng mất, khu vực)</t>
  </si>
  <si>
    <t>Thông điệp LP4</t>
  </si>
  <si>
    <t>Nói với người cao tuổi</t>
  </si>
  <si>
    <t>Nói với con cái làm răng cho bố mẹ</t>
  </si>
  <si>
    <t>CVR và giá trị ca</t>
  </si>
  <si>
    <t>Tốc độ gọi (Sales)</t>
  </si>
  <si>
    <t>≤ 5 phút</t>
  </si>
  <si>
    <t>≤ 30 phút</t>
  </si>
  <si>
    <t>2 tuần</t>
  </si>
  <si>
    <t>F. RỦI RO VÀ CÁCH KIỂM SOÁT</t>
  </si>
  <si>
    <t>Rủi ro</t>
  </si>
  <si>
    <t>Cách kiểm soát</t>
  </si>
  <si>
    <t>Vi phạm quy định quảng cáo dịch vụ y tế (từ ngữ 'tốt nhất', 'số 1', 'không đau 100%', 'cam kết thành công')</t>
  </si>
  <si>
    <t>Pháp chế duyệt câu chữ QC và LP trước khi chạy; nội dung QC dịch vụ y tế cần xác nhận theo quy định</t>
  </si>
  <si>
    <t>Smart Bidding học từ lead rác</t>
  </si>
  <si>
    <t>Pha 2-3 bắt buộc có chuyển đổi offline. Click Zalo chỉ là chuyển đổi phụ</t>
  </si>
  <si>
    <t>CPL đẹp nhưng không ra ca (nhóm giá rẻ, đối thủ)</t>
  </si>
  <si>
    <t>Báo cáo chi phí/ca chốt theo chiến dịch hằng tuần</t>
  </si>
  <si>
    <t>Lead toàn hàm vượt năng lực bác sĩ cấy</t>
  </si>
  <si>
    <t>Kiểm tra slot bác sĩ trước khi tăng ngân sách Toàn hàm</t>
  </si>
  <si>
    <t>Từ khoá hãng trụ NKP không dùng</t>
  </si>
  <si>
    <t>Rà danh mục trụ thực tế trước khi bật chiến dịch Hãng trụ</t>
  </si>
  <si>
    <t>Tài khoản và dữ liệu nằm ở agency</t>
  </si>
  <si>
    <t>Tài khoản Google Ads, GA4, tag và lead thuộc pháp nhân NKP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</si>
</sst>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0.0&quot;x&quot;"/>
  </numFmts>
  <fonts count="11">
    <font>
      <sz val="10.0"/>
      <color rgb="FF000000"/>
      <name val="Arial"/>
      <scheme val="minor"/>
    </font>
    <font>
      <b/>
      <sz val="14.0"/>
      <color rgb="FF1E3A5E"/>
      <name val="Arial"/>
    </font>
    <font>
      <sz val="10.0"/>
      <color theme="1"/>
      <name val="Arial"/>
    </font>
    <font>
      <i/>
      <color theme="1"/>
      <name val="Arial"/>
    </font>
    <font>
      <b/>
      <sz val="12.0"/>
      <color rgb="FF1E3A5E"/>
      <name val="Arial"/>
    </font>
    <font>
      <color rgb="FF0000FF"/>
      <name val="Arial"/>
    </font>
    <font>
      <b/>
      <color rgb="FFFFFFFF"/>
      <name val="Arial"/>
    </font>
    <font>
      <b/>
      <color theme="1"/>
      <name val="Arial"/>
    </font>
    <font>
      <b/>
      <sz val="10.0"/>
      <color theme="1"/>
      <name val="Arial"/>
    </font>
    <font>
      <b/>
      <color rgb="FF1E3A5E"/>
      <name val="Arial"/>
    </font>
    <font>
      <color rgb="FF007F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E3A5E"/>
        <bgColor rgb="FF1E3A5E"/>
      </patternFill>
    </fill>
    <fill>
      <patternFill patternType="solid">
        <fgColor rgb="FFF2F2F2"/>
        <bgColor rgb="FFF2F2F2"/>
      </patternFill>
    </fill>
    <fill>
      <patternFill patternType="solid">
        <fgColor rgb="FFEAF2F9"/>
        <bgColor rgb="FFEAF2F9"/>
      </patternFill>
    </fill>
    <fill>
      <patternFill patternType="solid">
        <fgColor rgb="FFFFFFFF"/>
        <bgColor rgb="FFFFFFFF"/>
      </patternFill>
    </fill>
    <fill>
      <patternFill patternType="solid">
        <fgColor rgb="FFF4F7FC"/>
        <bgColor rgb="FFF4F7FC"/>
      </patternFill>
    </fill>
    <fill>
      <patternFill patternType="solid">
        <fgColor rgb="FFDBE5F2"/>
        <bgColor rgb="FFDBE5F2"/>
      </patternFill>
    </fill>
  </fills>
  <borders count="3">
    <border/>
    <border>
      <bottom style="thin">
        <color rgb="FFD8D8D8"/>
      </bottom>
    </border>
    <border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2" fontId="5" numFmtId="3" xfId="0" applyAlignment="1" applyFill="1" applyFont="1" applyNumberFormat="1">
      <alignment readingOrder="0" vertical="center"/>
    </xf>
    <xf borderId="0" fillId="3" fontId="6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2" fontId="5" numFmtId="164" xfId="0" applyAlignment="1" applyFill="1" applyFont="1" applyNumberFormat="1">
      <alignment readingOrder="0" shrinkToFit="0" vertical="center" wrapText="1"/>
    </xf>
    <xf borderId="0" fillId="0" fontId="2" numFmtId="3" xfId="0" applyAlignment="1" applyFont="1" applyNumberFormat="1">
      <alignment vertical="center"/>
    </xf>
    <xf borderId="0" fillId="4" fontId="7" numFmtId="0" xfId="0" applyAlignment="1" applyFill="1" applyFont="1">
      <alignment readingOrder="0" vertical="center"/>
    </xf>
    <xf borderId="0" fillId="4" fontId="7" numFmtId="0" xfId="0" applyAlignment="1" applyFill="1" applyFont="1">
      <alignment vertical="center"/>
    </xf>
    <xf borderId="0" fillId="4" fontId="7" numFmtId="0" xfId="0" applyAlignment="1" applyFill="1" applyFont="1">
      <alignment shrinkToFit="0" vertical="center" wrapText="1"/>
    </xf>
    <xf borderId="0" fillId="4" fontId="7" numFmtId="164" xfId="0" applyAlignment="1" applyFill="1" applyFont="1" applyNumberFormat="1">
      <alignment shrinkToFit="0" vertical="center" wrapText="1"/>
    </xf>
    <xf borderId="0" fillId="4" fontId="7" numFmtId="3" xfId="0" applyAlignment="1" applyFill="1" applyFont="1" applyNumberForma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vertical="center"/>
    </xf>
    <xf borderId="0" fillId="0" fontId="2" numFmtId="3" xfId="0" applyAlignment="1" applyFont="1" applyNumberFormat="1">
      <alignment shrinkToFit="0" vertical="center" wrapText="1"/>
    </xf>
    <xf borderId="0" fillId="2" fontId="5" numFmtId="164" xfId="0" applyAlignment="1" applyFill="1" applyFont="1" applyNumberFormat="1">
      <alignment readingOrder="0" vertical="center"/>
    </xf>
    <xf borderId="0" fillId="5" fontId="8" numFmtId="0" xfId="0" applyAlignment="1" applyFill="1" applyFont="1">
      <alignment readingOrder="0" vertical="center"/>
    </xf>
    <xf borderId="0" fillId="5" fontId="8" numFmtId="3" xfId="0" applyAlignment="1" applyFill="1" applyFont="1" applyNumberFormat="1">
      <alignment vertical="center"/>
    </xf>
    <xf borderId="0" fillId="5" fontId="8" numFmtId="165" xfId="0" applyAlignment="1" applyFill="1" applyFont="1" applyNumberFormat="1">
      <alignment vertical="center"/>
    </xf>
    <xf borderId="0" fillId="3" fontId="6" numFmtId="0" xfId="0" applyAlignment="1" applyFill="1" applyFont="1">
      <alignment horizontal="center" readingOrder="0" shrinkToFit="0" vertical="center" wrapText="1"/>
    </xf>
    <xf borderId="0" fillId="6" fontId="2" numFmtId="0" xfId="0" applyAlignment="1" applyFill="1" applyFont="1">
      <alignment horizontal="center" readingOrder="0" vertical="center"/>
    </xf>
    <xf borderId="0" fillId="6" fontId="2" numFmtId="0" xfId="0" applyAlignment="1" applyFill="1" applyFont="1">
      <alignment readingOrder="0" vertical="center"/>
    </xf>
    <xf borderId="0" fillId="6" fontId="8" numFmtId="0" xfId="0" applyAlignment="1" applyFill="1" applyFont="1">
      <alignment readingOrder="0" vertical="center"/>
    </xf>
    <xf borderId="0" fillId="6" fontId="2" numFmtId="0" xfId="0" applyAlignment="1" applyFill="1" applyFont="1">
      <alignment horizontal="center" readingOrder="0" vertical="center"/>
    </xf>
    <xf borderId="0" fillId="6" fontId="2" numFmtId="0" xfId="0" applyAlignment="1" applyFill="1" applyFont="1">
      <alignment readingOrder="0" shrinkToFit="0" vertical="center" wrapText="1"/>
    </xf>
    <xf borderId="0" fillId="6" fontId="5" numFmtId="3" xfId="0" applyAlignment="1" applyFill="1" applyFont="1" applyNumberFormat="1">
      <alignment shrinkToFit="0" vertical="center" wrapText="1"/>
    </xf>
    <xf borderId="0" fillId="7" fontId="2" numFmtId="0" xfId="0" applyAlignment="1" applyFill="1" applyFont="1">
      <alignment horizontal="center" readingOrder="0" vertical="center"/>
    </xf>
    <xf borderId="0" fillId="7" fontId="2" numFmtId="0" xfId="0" applyAlignment="1" applyFill="1" applyFont="1">
      <alignment readingOrder="0" vertical="center"/>
    </xf>
    <xf borderId="0" fillId="7" fontId="8" numFmtId="0" xfId="0" applyAlignment="1" applyFill="1" applyFont="1">
      <alignment readingOrder="0" vertical="center"/>
    </xf>
    <xf borderId="0" fillId="7" fontId="2" numFmtId="0" xfId="0" applyAlignment="1" applyFill="1" applyFont="1">
      <alignment horizontal="center" readingOrder="0" vertical="center"/>
    </xf>
    <xf borderId="0" fillId="7" fontId="2" numFmtId="0" xfId="0" applyAlignment="1" applyFill="1" applyFont="1">
      <alignment readingOrder="0" shrinkToFit="0" vertical="center" wrapText="1"/>
    </xf>
    <xf borderId="0" fillId="7" fontId="5" numFmtId="3" xfId="0" applyAlignment="1" applyFill="1" applyFont="1" applyNumberFormat="1">
      <alignment shrinkToFit="0" vertical="center" wrapText="1"/>
    </xf>
    <xf borderId="0" fillId="7" fontId="2" numFmtId="0" xfId="0" applyAlignment="1" applyFill="1" applyFont="1">
      <alignment shrinkToFit="0" vertical="center" wrapText="1"/>
    </xf>
    <xf borderId="0" fillId="6" fontId="2" numFmtId="0" xfId="0" applyAlignment="1" applyFill="1" applyFont="1">
      <alignment shrinkToFit="0" vertical="center" wrapText="1"/>
    </xf>
    <xf borderId="0" fillId="6" fontId="2" numFmtId="0" xfId="0" applyAlignment="1" applyFill="1" applyFont="1">
      <alignment vertical="center"/>
    </xf>
    <xf borderId="0" fillId="7" fontId="2" numFmtId="0" xfId="0" applyAlignment="1" applyFill="1" applyFont="1">
      <alignment vertical="center"/>
    </xf>
    <xf borderId="0" fillId="8" fontId="9" numFmtId="0" xfId="0" applyAlignment="1" applyFill="1" applyFont="1">
      <alignment readingOrder="0" shrinkToFit="0" vertical="center" wrapText="0"/>
    </xf>
    <xf borderId="0" fillId="8" fontId="9" numFmtId="0" xfId="0" applyAlignment="1" applyFill="1" applyFont="1">
      <alignment shrinkToFit="0" vertical="center" wrapText="0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3" fontId="6" numFmtId="0" xfId="0" applyAlignment="1" applyBorder="1" applyFill="1" applyFont="1">
      <alignment readingOrder="0" shrinkToFit="0" vertical="center" wrapText="1"/>
    </xf>
    <xf borderId="0" fillId="0" fontId="2" numFmtId="0" xfId="0" applyAlignment="1" applyFont="1">
      <alignment shrinkToFit="0" vertical="top" wrapText="1"/>
    </xf>
    <xf borderId="2" fillId="0" fontId="9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1" fillId="3" fontId="6" numFmtId="0" xfId="0" applyAlignment="1" applyBorder="1" applyFill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3" fontId="6" numFmtId="0" xfId="0" applyAlignment="1" applyFill="1" applyFont="1">
      <alignment readingOrder="0" shrinkToFit="0" vertical="top" wrapText="1"/>
    </xf>
    <xf borderId="0" fillId="0" fontId="10" numFmtId="0" xfId="0" applyAlignment="1" applyFont="1">
      <alignment shrinkToFit="0" vertical="top" wrapText="1"/>
    </xf>
    <xf borderId="0" fillId="2" fontId="5" numFmtId="0" xfId="0" applyAlignment="1" applyFill="1" applyFont="1">
      <alignment horizontal="center" readingOrder="0" shrinkToFit="0" vertical="top" wrapText="1"/>
    </xf>
    <xf borderId="0" fillId="0" fontId="7" numFmtId="0" xfId="0" applyAlignment="1" applyFont="1">
      <alignment horizontal="center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10" numFmtId="3" xfId="0" applyAlignment="1" applyFont="1" applyNumberFormat="1">
      <alignment shrinkToFit="0" vertical="top" wrapText="1"/>
    </xf>
    <xf borderId="0" fillId="2" fontId="5" numFmtId="165" xfId="0" applyAlignment="1" applyFill="1" applyFont="1" applyNumberFormat="1">
      <alignment horizontal="center" readingOrder="0" shrinkToFit="0" vertical="top" wrapText="1"/>
    </xf>
    <xf borderId="0" fillId="0" fontId="2" numFmtId="3" xfId="0" applyAlignment="1" applyFont="1" applyNumberForma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>
        <b/>
      </font>
      <fill>
        <patternFill patternType="solid">
          <fgColor rgb="FFF4D8D8"/>
          <bgColor rgb="FFF4D8D8"/>
        </patternFill>
      </fill>
      <border/>
    </dxf>
    <dxf>
      <font>
        <b/>
      </font>
      <fill>
        <patternFill patternType="solid">
          <fgColor rgb="FFFFEAB2"/>
          <bgColor rgb="FFFFEAB2"/>
        </patternFill>
      </fill>
      <border/>
    </dxf>
    <dxf>
      <font>
        <b/>
      </font>
      <fill>
        <patternFill patternType="solid">
          <fgColor rgb="FFCEE2F7"/>
          <bgColor rgb="FFCEE2F7"/>
        </patternFill>
      </fill>
      <border/>
    </dxf>
    <dxf>
      <font>
        <b/>
      </font>
      <fill>
        <patternFill patternType="solid">
          <fgColor rgb="FFC6E5C9"/>
          <bgColor rgb="FFC6E5C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7.63"/>
    <col customWidth="1" min="2" max="2" width="17.63"/>
    <col customWidth="1" min="3" max="3" width="37.63"/>
    <col customWidth="1" min="4" max="4" width="41.38"/>
    <col customWidth="1" min="5" max="7" width="20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4</v>
      </c>
      <c r="B6" s="6">
        <v>2.0E8</v>
      </c>
      <c r="C6" s="5" t="s">
        <v>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13</v>
      </c>
      <c r="B9" s="5" t="s">
        <v>14</v>
      </c>
      <c r="C9" s="8" t="s">
        <v>15</v>
      </c>
      <c r="D9" s="9">
        <v>0.08</v>
      </c>
      <c r="E9" s="10">
        <f t="shared" ref="E9:E17" si="1">$B$6*D9</f>
        <v>16000000</v>
      </c>
      <c r="F9" s="10">
        <f t="shared" ref="F9:F17" si="2">E9/30</f>
        <v>533333.3333</v>
      </c>
      <c r="G9" s="2">
        <f>COUNTIF('2. Bộ từ khoá'!$B:$B,A9)</f>
        <v>10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16</v>
      </c>
      <c r="B10" s="5" t="s">
        <v>14</v>
      </c>
      <c r="C10" s="8" t="s">
        <v>17</v>
      </c>
      <c r="D10" s="9">
        <v>0.22</v>
      </c>
      <c r="E10" s="10">
        <f t="shared" si="1"/>
        <v>44000000</v>
      </c>
      <c r="F10" s="10">
        <f t="shared" si="2"/>
        <v>1466666.667</v>
      </c>
      <c r="G10" s="2">
        <f>COUNTIF('2. Bộ từ khoá'!$B:$B,A10)</f>
        <v>14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18</v>
      </c>
      <c r="B11" s="5" t="s">
        <v>14</v>
      </c>
      <c r="C11" s="8" t="s">
        <v>19</v>
      </c>
      <c r="D11" s="9">
        <v>0.15</v>
      </c>
      <c r="E11" s="10">
        <f t="shared" si="1"/>
        <v>30000000</v>
      </c>
      <c r="F11" s="10">
        <f t="shared" si="2"/>
        <v>1000000</v>
      </c>
      <c r="G11" s="2">
        <f>COUNTIF('2. Bộ từ khoá'!$B:$B,A11)</f>
        <v>14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20</v>
      </c>
      <c r="B12" s="5" t="s">
        <v>14</v>
      </c>
      <c r="C12" s="8" t="s">
        <v>21</v>
      </c>
      <c r="D12" s="9">
        <v>0.22</v>
      </c>
      <c r="E12" s="10">
        <f t="shared" si="1"/>
        <v>44000000</v>
      </c>
      <c r="F12" s="10">
        <f t="shared" si="2"/>
        <v>1466666.667</v>
      </c>
      <c r="G12" s="2">
        <f>COUNTIF('2. Bộ từ khoá'!$B:$B,A12)</f>
        <v>13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22</v>
      </c>
      <c r="B13" s="5" t="s">
        <v>23</v>
      </c>
      <c r="C13" s="8" t="s">
        <v>24</v>
      </c>
      <c r="D13" s="9">
        <v>0.13</v>
      </c>
      <c r="E13" s="10">
        <f t="shared" si="1"/>
        <v>26000000</v>
      </c>
      <c r="F13" s="10">
        <f t="shared" si="2"/>
        <v>866666.6667</v>
      </c>
      <c r="G13" s="2">
        <f>COUNTIF('2. Bộ từ khoá'!$B:$B,A13)</f>
        <v>14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25</v>
      </c>
      <c r="B14" s="5" t="s">
        <v>23</v>
      </c>
      <c r="C14" s="8" t="s">
        <v>26</v>
      </c>
      <c r="D14" s="9">
        <v>0.05</v>
      </c>
      <c r="E14" s="10">
        <f t="shared" si="1"/>
        <v>10000000</v>
      </c>
      <c r="F14" s="10">
        <f t="shared" si="2"/>
        <v>333333.3333</v>
      </c>
      <c r="G14" s="2">
        <f>COUNTIF('2. Bộ từ khoá'!$B:$B,A14)</f>
        <v>7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27</v>
      </c>
      <c r="B15" s="5" t="s">
        <v>28</v>
      </c>
      <c r="C15" s="8" t="s">
        <v>29</v>
      </c>
      <c r="D15" s="9">
        <v>0.07</v>
      </c>
      <c r="E15" s="10">
        <f t="shared" si="1"/>
        <v>14000000</v>
      </c>
      <c r="F15" s="10">
        <f t="shared" si="2"/>
        <v>466666.6667</v>
      </c>
      <c r="G15" s="2">
        <f>COUNTIF('2. Bộ từ khoá'!$B:$B,A15)</f>
        <v>10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30</v>
      </c>
      <c r="B16" s="5" t="s">
        <v>31</v>
      </c>
      <c r="C16" s="8" t="s">
        <v>32</v>
      </c>
      <c r="D16" s="9">
        <v>0.03</v>
      </c>
      <c r="E16" s="10">
        <f t="shared" si="1"/>
        <v>6000000</v>
      </c>
      <c r="F16" s="10">
        <f t="shared" si="2"/>
        <v>200000</v>
      </c>
      <c r="G16" s="2">
        <f>COUNTIF('2. Bộ từ khoá'!$B:$B,A16)</f>
        <v>7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33</v>
      </c>
      <c r="B17" s="5" t="s">
        <v>31</v>
      </c>
      <c r="C17" s="8" t="s">
        <v>34</v>
      </c>
      <c r="D17" s="9">
        <v>0.05</v>
      </c>
      <c r="E17" s="10">
        <f t="shared" si="1"/>
        <v>10000000</v>
      </c>
      <c r="F17" s="10">
        <f t="shared" si="2"/>
        <v>333333.3333</v>
      </c>
      <c r="G17" s="2">
        <f>COUNTIF('2. Bộ từ khoá'!$B:$B,A17)</f>
        <v>3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 t="s">
        <v>35</v>
      </c>
      <c r="B18" s="12"/>
      <c r="C18" s="13"/>
      <c r="D18" s="14">
        <f t="shared" ref="D18:G18" si="3">SUM(D9:D17)</f>
        <v>1</v>
      </c>
      <c r="E18" s="15">
        <f t="shared" si="3"/>
        <v>200000000</v>
      </c>
      <c r="F18" s="15">
        <f t="shared" si="3"/>
        <v>6666666.667</v>
      </c>
      <c r="G18" s="12">
        <f t="shared" si="3"/>
        <v>92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16"/>
      <c r="D19" s="16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 t="s">
        <v>36</v>
      </c>
      <c r="B20" s="7" t="s">
        <v>9</v>
      </c>
      <c r="C20" s="7" t="s">
        <v>10</v>
      </c>
      <c r="D20" s="7" t="s">
        <v>37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 t="s">
        <v>14</v>
      </c>
      <c r="B21" s="17">
        <f t="shared" ref="B21:B24" si="4">SUMIF($B$9:$B$17,A21,$D$9:$D$17)</f>
        <v>0.67</v>
      </c>
      <c r="C21" s="18">
        <f t="shared" ref="C21:C24" si="5">SUMIF($B$9:$B$17,A21,$E$9:$E$17)</f>
        <v>134000000</v>
      </c>
      <c r="D21" s="8" t="s">
        <v>38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 t="s">
        <v>23</v>
      </c>
      <c r="B22" s="17">
        <f t="shared" si="4"/>
        <v>0.18</v>
      </c>
      <c r="C22" s="18">
        <f t="shared" si="5"/>
        <v>36000000</v>
      </c>
      <c r="D22" s="8" t="s">
        <v>39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 t="s">
        <v>28</v>
      </c>
      <c r="B23" s="17">
        <f t="shared" si="4"/>
        <v>0.07</v>
      </c>
      <c r="C23" s="18">
        <f t="shared" si="5"/>
        <v>14000000</v>
      </c>
      <c r="D23" s="8" t="s">
        <v>40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31</v>
      </c>
      <c r="B24" s="17">
        <f t="shared" si="4"/>
        <v>0.08</v>
      </c>
      <c r="C24" s="18">
        <f t="shared" si="5"/>
        <v>16000000</v>
      </c>
      <c r="D24" s="8" t="s">
        <v>41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 t="s">
        <v>42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7" t="s">
        <v>43</v>
      </c>
      <c r="B27" s="7" t="s">
        <v>44</v>
      </c>
      <c r="C27" s="7" t="s">
        <v>45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 t="s">
        <v>46</v>
      </c>
      <c r="B28" s="6">
        <v>22000.0</v>
      </c>
      <c r="C28" s="5" t="s">
        <v>47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 t="s">
        <v>48</v>
      </c>
      <c r="B29" s="19">
        <v>0.08</v>
      </c>
      <c r="C29" s="5" t="s">
        <v>49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 t="s">
        <v>50</v>
      </c>
      <c r="B30" s="19">
        <v>0.45</v>
      </c>
      <c r="C30" s="5" t="s">
        <v>51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 t="s">
        <v>52</v>
      </c>
      <c r="B31" s="19">
        <v>0.65</v>
      </c>
      <c r="C31" s="5" t="s">
        <v>51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 t="s">
        <v>53</v>
      </c>
      <c r="B32" s="19">
        <v>0.45</v>
      </c>
      <c r="C32" s="5" t="s">
        <v>54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 t="s">
        <v>55</v>
      </c>
      <c r="B33" s="6">
        <v>3.0E7</v>
      </c>
      <c r="C33" s="5" t="s">
        <v>56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 t="s">
        <v>57</v>
      </c>
      <c r="B35" s="10">
        <f>IF(B28=0,0,B6/B28)</f>
        <v>9090.909091</v>
      </c>
      <c r="C35" s="5" t="s">
        <v>58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 t="s">
        <v>59</v>
      </c>
      <c r="B36" s="10">
        <f t="shared" ref="B36:B40" si="6">B35*B29</f>
        <v>727.2727273</v>
      </c>
      <c r="C36" s="5" t="s">
        <v>58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 t="s">
        <v>60</v>
      </c>
      <c r="B37" s="10">
        <f t="shared" si="6"/>
        <v>327.2727273</v>
      </c>
      <c r="C37" s="5" t="s">
        <v>58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 t="s">
        <v>61</v>
      </c>
      <c r="B38" s="10">
        <f t="shared" si="6"/>
        <v>212.7272727</v>
      </c>
      <c r="C38" s="5" t="s">
        <v>58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 t="s">
        <v>62</v>
      </c>
      <c r="B39" s="10">
        <f t="shared" si="6"/>
        <v>95.72727273</v>
      </c>
      <c r="C39" s="5" t="s">
        <v>58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 t="s">
        <v>63</v>
      </c>
      <c r="B40" s="10">
        <f t="shared" si="6"/>
        <v>2871818182</v>
      </c>
      <c r="C40" s="5" t="s">
        <v>58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0" t="s">
        <v>64</v>
      </c>
      <c r="B41" s="21">
        <f>IF(B36=0,0,B6/B36)</f>
        <v>275000</v>
      </c>
      <c r="C41" s="5" t="s">
        <v>58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0" t="s">
        <v>65</v>
      </c>
      <c r="B42" s="21">
        <f>IF(B39=0,0,B6/B39)</f>
        <v>2089268.756</v>
      </c>
      <c r="C42" s="5" t="s">
        <v>66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0" t="s">
        <v>67</v>
      </c>
      <c r="B43" s="22">
        <f>IF(B6=0,0,B40/B6)</f>
        <v>14.35909091</v>
      </c>
      <c r="C43" s="5" t="s">
        <v>58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 t="s">
        <v>68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 t="s">
        <v>69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 t="s">
        <v>70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 t="s">
        <v>71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 t="s">
        <v>72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 t="s">
        <v>73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 t="s">
        <v>74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5.75"/>
    <col customWidth="1" min="2" max="2" width="27.63"/>
    <col customWidth="1" min="3" max="3" width="18.88"/>
    <col customWidth="1" min="4" max="4" width="37.63"/>
    <col customWidth="1" min="5" max="9" width="12.0"/>
    <col customWidth="1" min="10" max="10" width="37.63"/>
    <col customWidth="1" min="11" max="12" width="16.38"/>
    <col customWidth="1" min="13" max="13" width="42.63"/>
  </cols>
  <sheetData>
    <row r="1" ht="36.0" customHeight="1">
      <c r="A1" s="23" t="s">
        <v>75</v>
      </c>
      <c r="B1" s="23" t="s">
        <v>6</v>
      </c>
      <c r="C1" s="23" t="s">
        <v>76</v>
      </c>
      <c r="D1" s="23" t="s">
        <v>77</v>
      </c>
      <c r="E1" s="23" t="s">
        <v>78</v>
      </c>
      <c r="F1" s="23" t="s">
        <v>7</v>
      </c>
      <c r="G1" s="23" t="s">
        <v>79</v>
      </c>
      <c r="H1" s="23" t="s">
        <v>80</v>
      </c>
      <c r="I1" s="23" t="s">
        <v>81</v>
      </c>
      <c r="J1" s="23" t="s">
        <v>82</v>
      </c>
      <c r="K1" s="23" t="s">
        <v>83</v>
      </c>
      <c r="L1" s="23" t="s">
        <v>84</v>
      </c>
      <c r="M1" s="23" t="s">
        <v>45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4">
        <v>1.0</v>
      </c>
      <c r="B2" s="25" t="s">
        <v>13</v>
      </c>
      <c r="C2" s="25" t="s">
        <v>85</v>
      </c>
      <c r="D2" s="26" t="s">
        <v>86</v>
      </c>
      <c r="E2" s="27" t="s">
        <v>87</v>
      </c>
      <c r="F2" s="27" t="s">
        <v>14</v>
      </c>
      <c r="G2" s="27" t="s">
        <v>88</v>
      </c>
      <c r="H2" s="27" t="s">
        <v>89</v>
      </c>
      <c r="I2" s="27" t="s">
        <v>90</v>
      </c>
      <c r="J2" s="28" t="s">
        <v>91</v>
      </c>
      <c r="K2" s="29"/>
      <c r="L2" s="29"/>
      <c r="M2" s="28" t="s">
        <v>92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0">
        <v>2.0</v>
      </c>
      <c r="B3" s="31" t="s">
        <v>13</v>
      </c>
      <c r="C3" s="31" t="s">
        <v>85</v>
      </c>
      <c r="D3" s="32" t="s">
        <v>93</v>
      </c>
      <c r="E3" s="33" t="s">
        <v>87</v>
      </c>
      <c r="F3" s="33" t="s">
        <v>14</v>
      </c>
      <c r="G3" s="33" t="s">
        <v>88</v>
      </c>
      <c r="H3" s="33" t="s">
        <v>89</v>
      </c>
      <c r="I3" s="33" t="s">
        <v>90</v>
      </c>
      <c r="J3" s="34" t="s">
        <v>91</v>
      </c>
      <c r="K3" s="35"/>
      <c r="L3" s="35"/>
      <c r="M3" s="36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4">
        <v>3.0</v>
      </c>
      <c r="B4" s="25" t="s">
        <v>13</v>
      </c>
      <c r="C4" s="25" t="s">
        <v>85</v>
      </c>
      <c r="D4" s="26" t="s">
        <v>94</v>
      </c>
      <c r="E4" s="27" t="s">
        <v>95</v>
      </c>
      <c r="F4" s="27" t="s">
        <v>14</v>
      </c>
      <c r="G4" s="27" t="s">
        <v>88</v>
      </c>
      <c r="H4" s="27" t="s">
        <v>89</v>
      </c>
      <c r="I4" s="27" t="s">
        <v>90</v>
      </c>
      <c r="J4" s="28" t="s">
        <v>91</v>
      </c>
      <c r="K4" s="29"/>
      <c r="L4" s="29"/>
      <c r="M4" s="3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idden="1">
      <c r="A5" s="30">
        <v>4.0</v>
      </c>
      <c r="B5" s="31" t="s">
        <v>13</v>
      </c>
      <c r="C5" s="31" t="s">
        <v>85</v>
      </c>
      <c r="D5" s="32" t="s">
        <v>96</v>
      </c>
      <c r="E5" s="33" t="s">
        <v>95</v>
      </c>
      <c r="F5" s="33" t="s">
        <v>14</v>
      </c>
      <c r="G5" s="33" t="s">
        <v>88</v>
      </c>
      <c r="H5" s="33" t="s">
        <v>89</v>
      </c>
      <c r="I5" s="33" t="s">
        <v>97</v>
      </c>
      <c r="J5" s="34" t="s">
        <v>98</v>
      </c>
      <c r="K5" s="35"/>
      <c r="L5" s="35"/>
      <c r="M5" s="34" t="s">
        <v>99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4">
        <v>5.0</v>
      </c>
      <c r="B6" s="25" t="s">
        <v>13</v>
      </c>
      <c r="C6" s="25" t="s">
        <v>85</v>
      </c>
      <c r="D6" s="26" t="s">
        <v>100</v>
      </c>
      <c r="E6" s="27" t="s">
        <v>95</v>
      </c>
      <c r="F6" s="27" t="s">
        <v>14</v>
      </c>
      <c r="G6" s="27" t="s">
        <v>88</v>
      </c>
      <c r="H6" s="27" t="s">
        <v>89</v>
      </c>
      <c r="I6" s="27" t="s">
        <v>90</v>
      </c>
      <c r="J6" s="28" t="s">
        <v>91</v>
      </c>
      <c r="K6" s="29"/>
      <c r="L6" s="29"/>
      <c r="M6" s="3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0">
        <v>6.0</v>
      </c>
      <c r="B7" s="31" t="s">
        <v>13</v>
      </c>
      <c r="C7" s="31" t="s">
        <v>101</v>
      </c>
      <c r="D7" s="32" t="s">
        <v>102</v>
      </c>
      <c r="E7" s="33" t="s">
        <v>87</v>
      </c>
      <c r="F7" s="33" t="s">
        <v>14</v>
      </c>
      <c r="G7" s="33" t="s">
        <v>88</v>
      </c>
      <c r="H7" s="33" t="s">
        <v>89</v>
      </c>
      <c r="I7" s="33" t="s">
        <v>90</v>
      </c>
      <c r="J7" s="34" t="s">
        <v>103</v>
      </c>
      <c r="K7" s="35"/>
      <c r="L7" s="35"/>
      <c r="M7" s="34" t="s">
        <v>104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idden="1">
      <c r="A8" s="24">
        <v>7.0</v>
      </c>
      <c r="B8" s="25" t="s">
        <v>13</v>
      </c>
      <c r="C8" s="25" t="s">
        <v>101</v>
      </c>
      <c r="D8" s="26" t="s">
        <v>105</v>
      </c>
      <c r="E8" s="27" t="s">
        <v>87</v>
      </c>
      <c r="F8" s="27" t="s">
        <v>14</v>
      </c>
      <c r="G8" s="27" t="s">
        <v>88</v>
      </c>
      <c r="H8" s="27" t="s">
        <v>89</v>
      </c>
      <c r="I8" s="27" t="s">
        <v>106</v>
      </c>
      <c r="J8" s="28" t="s">
        <v>107</v>
      </c>
      <c r="K8" s="29"/>
      <c r="L8" s="29"/>
      <c r="M8" s="3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idden="1">
      <c r="A9" s="30">
        <v>8.0</v>
      </c>
      <c r="B9" s="31" t="s">
        <v>13</v>
      </c>
      <c r="C9" s="31" t="s">
        <v>101</v>
      </c>
      <c r="D9" s="32" t="s">
        <v>108</v>
      </c>
      <c r="E9" s="33" t="s">
        <v>95</v>
      </c>
      <c r="F9" s="33" t="s">
        <v>14</v>
      </c>
      <c r="G9" s="33" t="s">
        <v>88</v>
      </c>
      <c r="H9" s="33" t="s">
        <v>89</v>
      </c>
      <c r="I9" s="33" t="s">
        <v>106</v>
      </c>
      <c r="J9" s="34" t="s">
        <v>107</v>
      </c>
      <c r="K9" s="35"/>
      <c r="L9" s="35"/>
      <c r="M9" s="34" t="s">
        <v>109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4">
        <v>9.0</v>
      </c>
      <c r="B10" s="25" t="s">
        <v>13</v>
      </c>
      <c r="C10" s="25" t="s">
        <v>101</v>
      </c>
      <c r="D10" s="26" t="s">
        <v>110</v>
      </c>
      <c r="E10" s="27" t="s">
        <v>95</v>
      </c>
      <c r="F10" s="27" t="s">
        <v>14</v>
      </c>
      <c r="G10" s="27" t="s">
        <v>88</v>
      </c>
      <c r="H10" s="27" t="s">
        <v>89</v>
      </c>
      <c r="I10" s="27" t="s">
        <v>90</v>
      </c>
      <c r="J10" s="28" t="s">
        <v>111</v>
      </c>
      <c r="K10" s="29"/>
      <c r="L10" s="29"/>
      <c r="M10" s="28" t="s">
        <v>112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0">
        <v>10.0</v>
      </c>
      <c r="B11" s="31" t="s">
        <v>13</v>
      </c>
      <c r="C11" s="31" t="s">
        <v>101</v>
      </c>
      <c r="D11" s="32" t="s">
        <v>113</v>
      </c>
      <c r="E11" s="33" t="s">
        <v>95</v>
      </c>
      <c r="F11" s="33" t="s">
        <v>14</v>
      </c>
      <c r="G11" s="33" t="s">
        <v>88</v>
      </c>
      <c r="H11" s="33" t="s">
        <v>89</v>
      </c>
      <c r="I11" s="33" t="s">
        <v>90</v>
      </c>
      <c r="J11" s="34" t="s">
        <v>111</v>
      </c>
      <c r="K11" s="35"/>
      <c r="L11" s="35"/>
      <c r="M11" s="36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idden="1">
      <c r="A12" s="24">
        <v>11.0</v>
      </c>
      <c r="B12" s="25" t="s">
        <v>16</v>
      </c>
      <c r="C12" s="25" t="s">
        <v>114</v>
      </c>
      <c r="D12" s="26" t="s">
        <v>115</v>
      </c>
      <c r="E12" s="27" t="s">
        <v>87</v>
      </c>
      <c r="F12" s="27" t="s">
        <v>14</v>
      </c>
      <c r="G12" s="27" t="s">
        <v>116</v>
      </c>
      <c r="H12" s="27" t="s">
        <v>117</v>
      </c>
      <c r="I12" s="27" t="s">
        <v>97</v>
      </c>
      <c r="J12" s="28" t="s">
        <v>118</v>
      </c>
      <c r="K12" s="29"/>
      <c r="L12" s="29"/>
      <c r="M12" s="28" t="s">
        <v>119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idden="1">
      <c r="A13" s="30">
        <v>12.0</v>
      </c>
      <c r="B13" s="31" t="s">
        <v>16</v>
      </c>
      <c r="C13" s="31" t="s">
        <v>114</v>
      </c>
      <c r="D13" s="32" t="s">
        <v>115</v>
      </c>
      <c r="E13" s="33" t="s">
        <v>95</v>
      </c>
      <c r="F13" s="33" t="s">
        <v>14</v>
      </c>
      <c r="G13" s="33" t="s">
        <v>116</v>
      </c>
      <c r="H13" s="33" t="s">
        <v>117</v>
      </c>
      <c r="I13" s="33" t="s">
        <v>97</v>
      </c>
      <c r="J13" s="34" t="s">
        <v>118</v>
      </c>
      <c r="K13" s="35"/>
      <c r="L13" s="35"/>
      <c r="M13" s="36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idden="1">
      <c r="A14" s="24">
        <v>13.0</v>
      </c>
      <c r="B14" s="25" t="s">
        <v>16</v>
      </c>
      <c r="C14" s="25" t="s">
        <v>114</v>
      </c>
      <c r="D14" s="26" t="s">
        <v>120</v>
      </c>
      <c r="E14" s="27" t="s">
        <v>95</v>
      </c>
      <c r="F14" s="27" t="s">
        <v>14</v>
      </c>
      <c r="G14" s="27" t="s">
        <v>116</v>
      </c>
      <c r="H14" s="27" t="s">
        <v>117</v>
      </c>
      <c r="I14" s="27" t="s">
        <v>97</v>
      </c>
      <c r="J14" s="28" t="s">
        <v>118</v>
      </c>
      <c r="K14" s="29"/>
      <c r="L14" s="29"/>
      <c r="M14" s="37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idden="1">
      <c r="A15" s="30">
        <v>14.0</v>
      </c>
      <c r="B15" s="31" t="s">
        <v>16</v>
      </c>
      <c r="C15" s="31" t="s">
        <v>114</v>
      </c>
      <c r="D15" s="32" t="s">
        <v>121</v>
      </c>
      <c r="E15" s="33" t="s">
        <v>95</v>
      </c>
      <c r="F15" s="33" t="s">
        <v>14</v>
      </c>
      <c r="G15" s="33" t="s">
        <v>116</v>
      </c>
      <c r="H15" s="33" t="s">
        <v>122</v>
      </c>
      <c r="I15" s="33" t="s">
        <v>97</v>
      </c>
      <c r="J15" s="34" t="s">
        <v>118</v>
      </c>
      <c r="K15" s="35"/>
      <c r="L15" s="35"/>
      <c r="M15" s="36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idden="1">
      <c r="A16" s="24">
        <v>15.0</v>
      </c>
      <c r="B16" s="25" t="s">
        <v>16</v>
      </c>
      <c r="C16" s="25" t="s">
        <v>114</v>
      </c>
      <c r="D16" s="26" t="s">
        <v>123</v>
      </c>
      <c r="E16" s="27" t="s">
        <v>95</v>
      </c>
      <c r="F16" s="27" t="s">
        <v>14</v>
      </c>
      <c r="G16" s="27" t="s">
        <v>116</v>
      </c>
      <c r="H16" s="27" t="s">
        <v>122</v>
      </c>
      <c r="I16" s="27" t="s">
        <v>97</v>
      </c>
      <c r="J16" s="28" t="s">
        <v>124</v>
      </c>
      <c r="K16" s="29"/>
      <c r="L16" s="29"/>
      <c r="M16" s="37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idden="1">
      <c r="A17" s="30">
        <v>16.0</v>
      </c>
      <c r="B17" s="31" t="s">
        <v>16</v>
      </c>
      <c r="C17" s="31" t="s">
        <v>114</v>
      </c>
      <c r="D17" s="32" t="s">
        <v>125</v>
      </c>
      <c r="E17" s="33" t="s">
        <v>95</v>
      </c>
      <c r="F17" s="33" t="s">
        <v>14</v>
      </c>
      <c r="G17" s="33" t="s">
        <v>116</v>
      </c>
      <c r="H17" s="33" t="s">
        <v>122</v>
      </c>
      <c r="I17" s="33" t="s">
        <v>97</v>
      </c>
      <c r="J17" s="34" t="s">
        <v>126</v>
      </c>
      <c r="K17" s="35"/>
      <c r="L17" s="35"/>
      <c r="M17" s="36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idden="1">
      <c r="A18" s="24">
        <v>17.0</v>
      </c>
      <c r="B18" s="25" t="s">
        <v>16</v>
      </c>
      <c r="C18" s="25" t="s">
        <v>114</v>
      </c>
      <c r="D18" s="26" t="s">
        <v>127</v>
      </c>
      <c r="E18" s="27" t="s">
        <v>95</v>
      </c>
      <c r="F18" s="27" t="s">
        <v>14</v>
      </c>
      <c r="G18" s="27" t="s">
        <v>116</v>
      </c>
      <c r="H18" s="27" t="s">
        <v>122</v>
      </c>
      <c r="I18" s="27" t="s">
        <v>97</v>
      </c>
      <c r="J18" s="28" t="s">
        <v>126</v>
      </c>
      <c r="K18" s="29"/>
      <c r="L18" s="29"/>
      <c r="M18" s="37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idden="1">
      <c r="A19" s="30">
        <v>18.0</v>
      </c>
      <c r="B19" s="31" t="s">
        <v>16</v>
      </c>
      <c r="C19" s="31" t="s">
        <v>114</v>
      </c>
      <c r="D19" s="32" t="s">
        <v>128</v>
      </c>
      <c r="E19" s="33" t="s">
        <v>95</v>
      </c>
      <c r="F19" s="33" t="s">
        <v>14</v>
      </c>
      <c r="G19" s="33" t="s">
        <v>116</v>
      </c>
      <c r="H19" s="33" t="s">
        <v>122</v>
      </c>
      <c r="I19" s="33" t="s">
        <v>97</v>
      </c>
      <c r="J19" s="34" t="s">
        <v>118</v>
      </c>
      <c r="K19" s="35"/>
      <c r="L19" s="35"/>
      <c r="M19" s="3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idden="1">
      <c r="A20" s="24">
        <v>19.0</v>
      </c>
      <c r="B20" s="25" t="s">
        <v>16</v>
      </c>
      <c r="C20" s="25" t="s">
        <v>129</v>
      </c>
      <c r="D20" s="26" t="s">
        <v>130</v>
      </c>
      <c r="E20" s="27" t="s">
        <v>95</v>
      </c>
      <c r="F20" s="27" t="s">
        <v>14</v>
      </c>
      <c r="G20" s="27" t="s">
        <v>116</v>
      </c>
      <c r="H20" s="27" t="s">
        <v>131</v>
      </c>
      <c r="I20" s="27" t="s">
        <v>97</v>
      </c>
      <c r="J20" s="28" t="s">
        <v>132</v>
      </c>
      <c r="K20" s="29"/>
      <c r="L20" s="29"/>
      <c r="M20" s="28" t="s">
        <v>133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idden="1">
      <c r="A21" s="30">
        <v>20.0</v>
      </c>
      <c r="B21" s="31" t="s">
        <v>16</v>
      </c>
      <c r="C21" s="31" t="s">
        <v>129</v>
      </c>
      <c r="D21" s="32" t="s">
        <v>134</v>
      </c>
      <c r="E21" s="33" t="s">
        <v>95</v>
      </c>
      <c r="F21" s="33" t="s">
        <v>14</v>
      </c>
      <c r="G21" s="33" t="s">
        <v>116</v>
      </c>
      <c r="H21" s="33" t="s">
        <v>131</v>
      </c>
      <c r="I21" s="33" t="s">
        <v>97</v>
      </c>
      <c r="J21" s="34" t="s">
        <v>132</v>
      </c>
      <c r="K21" s="35"/>
      <c r="L21" s="35"/>
      <c r="M21" s="34" t="s">
        <v>135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idden="1">
      <c r="A22" s="24">
        <v>21.0</v>
      </c>
      <c r="B22" s="25" t="s">
        <v>16</v>
      </c>
      <c r="C22" s="25" t="s">
        <v>129</v>
      </c>
      <c r="D22" s="26" t="s">
        <v>136</v>
      </c>
      <c r="E22" s="27" t="s">
        <v>95</v>
      </c>
      <c r="F22" s="27" t="s">
        <v>14</v>
      </c>
      <c r="G22" s="27" t="s">
        <v>116</v>
      </c>
      <c r="H22" s="27" t="s">
        <v>122</v>
      </c>
      <c r="I22" s="27" t="s">
        <v>97</v>
      </c>
      <c r="J22" s="28" t="s">
        <v>137</v>
      </c>
      <c r="K22" s="29"/>
      <c r="L22" s="29"/>
      <c r="M22" s="37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idden="1">
      <c r="A23" s="30">
        <v>22.0</v>
      </c>
      <c r="B23" s="31" t="s">
        <v>16</v>
      </c>
      <c r="C23" s="31" t="s">
        <v>129</v>
      </c>
      <c r="D23" s="32" t="s">
        <v>138</v>
      </c>
      <c r="E23" s="33" t="s">
        <v>95</v>
      </c>
      <c r="F23" s="33" t="s">
        <v>14</v>
      </c>
      <c r="G23" s="33" t="s">
        <v>116</v>
      </c>
      <c r="H23" s="33" t="s">
        <v>122</v>
      </c>
      <c r="I23" s="33" t="s">
        <v>97</v>
      </c>
      <c r="J23" s="34" t="s">
        <v>137</v>
      </c>
      <c r="K23" s="35"/>
      <c r="L23" s="35"/>
      <c r="M23" s="36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idden="1">
      <c r="A24" s="24">
        <v>23.0</v>
      </c>
      <c r="B24" s="25" t="s">
        <v>16</v>
      </c>
      <c r="C24" s="25" t="s">
        <v>139</v>
      </c>
      <c r="D24" s="26" t="s">
        <v>140</v>
      </c>
      <c r="E24" s="27" t="s">
        <v>95</v>
      </c>
      <c r="F24" s="27" t="s">
        <v>28</v>
      </c>
      <c r="G24" s="27" t="s">
        <v>116</v>
      </c>
      <c r="H24" s="27" t="s">
        <v>117</v>
      </c>
      <c r="I24" s="27" t="s">
        <v>97</v>
      </c>
      <c r="J24" s="28" t="s">
        <v>141</v>
      </c>
      <c r="K24" s="29"/>
      <c r="L24" s="29"/>
      <c r="M24" s="28" t="s">
        <v>142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idden="1">
      <c r="A25" s="30">
        <v>24.0</v>
      </c>
      <c r="B25" s="31" t="s">
        <v>16</v>
      </c>
      <c r="C25" s="31" t="s">
        <v>139</v>
      </c>
      <c r="D25" s="32" t="s">
        <v>143</v>
      </c>
      <c r="E25" s="33" t="s">
        <v>95</v>
      </c>
      <c r="F25" s="33" t="s">
        <v>28</v>
      </c>
      <c r="G25" s="33" t="s">
        <v>116</v>
      </c>
      <c r="H25" s="33" t="s">
        <v>117</v>
      </c>
      <c r="I25" s="33" t="s">
        <v>97</v>
      </c>
      <c r="J25" s="34" t="s">
        <v>141</v>
      </c>
      <c r="K25" s="35"/>
      <c r="L25" s="35"/>
      <c r="M25" s="34" t="s">
        <v>144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idden="1">
      <c r="A26" s="24">
        <v>25.0</v>
      </c>
      <c r="B26" s="25" t="s">
        <v>18</v>
      </c>
      <c r="C26" s="25" t="s">
        <v>145</v>
      </c>
      <c r="D26" s="26" t="s">
        <v>146</v>
      </c>
      <c r="E26" s="27" t="s">
        <v>95</v>
      </c>
      <c r="F26" s="27" t="s">
        <v>14</v>
      </c>
      <c r="G26" s="27" t="s">
        <v>116</v>
      </c>
      <c r="H26" s="27" t="s">
        <v>122</v>
      </c>
      <c r="I26" s="27" t="s">
        <v>106</v>
      </c>
      <c r="J26" s="28" t="s">
        <v>147</v>
      </c>
      <c r="K26" s="29"/>
      <c r="L26" s="29"/>
      <c r="M26" s="37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idden="1">
      <c r="A27" s="30">
        <v>26.0</v>
      </c>
      <c r="B27" s="31" t="s">
        <v>18</v>
      </c>
      <c r="C27" s="31" t="s">
        <v>145</v>
      </c>
      <c r="D27" s="32" t="s">
        <v>148</v>
      </c>
      <c r="E27" s="33" t="s">
        <v>95</v>
      </c>
      <c r="F27" s="33" t="s">
        <v>14</v>
      </c>
      <c r="G27" s="33" t="s">
        <v>116</v>
      </c>
      <c r="H27" s="33" t="s">
        <v>117</v>
      </c>
      <c r="I27" s="33" t="s">
        <v>106</v>
      </c>
      <c r="J27" s="34" t="s">
        <v>149</v>
      </c>
      <c r="K27" s="35"/>
      <c r="L27" s="35"/>
      <c r="M27" s="36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idden="1">
      <c r="A28" s="24">
        <v>27.0</v>
      </c>
      <c r="B28" s="25" t="s">
        <v>18</v>
      </c>
      <c r="C28" s="25" t="s">
        <v>145</v>
      </c>
      <c r="D28" s="26" t="s">
        <v>150</v>
      </c>
      <c r="E28" s="27" t="s">
        <v>95</v>
      </c>
      <c r="F28" s="27" t="s">
        <v>14</v>
      </c>
      <c r="G28" s="27" t="s">
        <v>116</v>
      </c>
      <c r="H28" s="27" t="s">
        <v>122</v>
      </c>
      <c r="I28" s="27" t="s">
        <v>106</v>
      </c>
      <c r="J28" s="28" t="s">
        <v>147</v>
      </c>
      <c r="K28" s="29"/>
      <c r="L28" s="29"/>
      <c r="M28" s="37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idden="1">
      <c r="A29" s="30">
        <v>28.0</v>
      </c>
      <c r="B29" s="31" t="s">
        <v>18</v>
      </c>
      <c r="C29" s="31" t="s">
        <v>145</v>
      </c>
      <c r="D29" s="32" t="s">
        <v>151</v>
      </c>
      <c r="E29" s="33" t="s">
        <v>95</v>
      </c>
      <c r="F29" s="33" t="s">
        <v>14</v>
      </c>
      <c r="G29" s="33" t="s">
        <v>116</v>
      </c>
      <c r="H29" s="33" t="s">
        <v>131</v>
      </c>
      <c r="I29" s="33" t="s">
        <v>106</v>
      </c>
      <c r="J29" s="34" t="s">
        <v>152</v>
      </c>
      <c r="K29" s="35"/>
      <c r="L29" s="35"/>
      <c r="M29" s="34" t="s">
        <v>153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idden="1">
      <c r="A30" s="24">
        <v>29.0</v>
      </c>
      <c r="B30" s="25" t="s">
        <v>18</v>
      </c>
      <c r="C30" s="25" t="s">
        <v>145</v>
      </c>
      <c r="D30" s="26" t="s">
        <v>154</v>
      </c>
      <c r="E30" s="27" t="s">
        <v>95</v>
      </c>
      <c r="F30" s="27" t="s">
        <v>14</v>
      </c>
      <c r="G30" s="27" t="s">
        <v>116</v>
      </c>
      <c r="H30" s="27" t="s">
        <v>122</v>
      </c>
      <c r="I30" s="27" t="s">
        <v>106</v>
      </c>
      <c r="J30" s="28" t="s">
        <v>147</v>
      </c>
      <c r="K30" s="29"/>
      <c r="L30" s="29"/>
      <c r="M30" s="37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idden="1">
      <c r="A31" s="30">
        <v>30.0</v>
      </c>
      <c r="B31" s="31" t="s">
        <v>18</v>
      </c>
      <c r="C31" s="31" t="s">
        <v>155</v>
      </c>
      <c r="D31" s="32" t="s">
        <v>156</v>
      </c>
      <c r="E31" s="33" t="s">
        <v>95</v>
      </c>
      <c r="F31" s="33" t="s">
        <v>14</v>
      </c>
      <c r="G31" s="33" t="s">
        <v>116</v>
      </c>
      <c r="H31" s="33" t="s">
        <v>122</v>
      </c>
      <c r="I31" s="33" t="s">
        <v>106</v>
      </c>
      <c r="J31" s="34" t="s">
        <v>157</v>
      </c>
      <c r="K31" s="35"/>
      <c r="L31" s="35"/>
      <c r="M31" s="34" t="s">
        <v>158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idden="1">
      <c r="A32" s="24">
        <v>31.0</v>
      </c>
      <c r="B32" s="25" t="s">
        <v>18</v>
      </c>
      <c r="C32" s="25" t="s">
        <v>155</v>
      </c>
      <c r="D32" s="26" t="s">
        <v>159</v>
      </c>
      <c r="E32" s="27" t="s">
        <v>95</v>
      </c>
      <c r="F32" s="27" t="s">
        <v>14</v>
      </c>
      <c r="G32" s="27" t="s">
        <v>116</v>
      </c>
      <c r="H32" s="27" t="s">
        <v>122</v>
      </c>
      <c r="I32" s="27" t="s">
        <v>106</v>
      </c>
      <c r="J32" s="28" t="s">
        <v>157</v>
      </c>
      <c r="K32" s="29"/>
      <c r="L32" s="29"/>
      <c r="M32" s="37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idden="1">
      <c r="A33" s="30">
        <v>32.0</v>
      </c>
      <c r="B33" s="31" t="s">
        <v>18</v>
      </c>
      <c r="C33" s="31" t="s">
        <v>160</v>
      </c>
      <c r="D33" s="32" t="s">
        <v>161</v>
      </c>
      <c r="E33" s="33" t="s">
        <v>87</v>
      </c>
      <c r="F33" s="33" t="s">
        <v>14</v>
      </c>
      <c r="G33" s="33" t="s">
        <v>116</v>
      </c>
      <c r="H33" s="33" t="s">
        <v>117</v>
      </c>
      <c r="I33" s="33" t="s">
        <v>106</v>
      </c>
      <c r="J33" s="34" t="s">
        <v>162</v>
      </c>
      <c r="K33" s="35"/>
      <c r="L33" s="35"/>
      <c r="M33" s="34" t="s">
        <v>163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idden="1">
      <c r="A34" s="24">
        <v>33.0</v>
      </c>
      <c r="B34" s="25" t="s">
        <v>18</v>
      </c>
      <c r="C34" s="25" t="s">
        <v>160</v>
      </c>
      <c r="D34" s="26" t="s">
        <v>161</v>
      </c>
      <c r="E34" s="27" t="s">
        <v>95</v>
      </c>
      <c r="F34" s="27" t="s">
        <v>14</v>
      </c>
      <c r="G34" s="27" t="s">
        <v>116</v>
      </c>
      <c r="H34" s="27" t="s">
        <v>117</v>
      </c>
      <c r="I34" s="27" t="s">
        <v>106</v>
      </c>
      <c r="J34" s="28" t="s">
        <v>162</v>
      </c>
      <c r="K34" s="29"/>
      <c r="L34" s="29"/>
      <c r="M34" s="37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idden="1">
      <c r="A35" s="30">
        <v>34.0</v>
      </c>
      <c r="B35" s="31" t="s">
        <v>18</v>
      </c>
      <c r="C35" s="31" t="s">
        <v>160</v>
      </c>
      <c r="D35" s="32" t="s">
        <v>164</v>
      </c>
      <c r="E35" s="33" t="s">
        <v>95</v>
      </c>
      <c r="F35" s="33" t="s">
        <v>14</v>
      </c>
      <c r="G35" s="33" t="s">
        <v>116</v>
      </c>
      <c r="H35" s="33" t="s">
        <v>122</v>
      </c>
      <c r="I35" s="33" t="s">
        <v>106</v>
      </c>
      <c r="J35" s="34" t="s">
        <v>162</v>
      </c>
      <c r="K35" s="35"/>
      <c r="L35" s="35"/>
      <c r="M35" s="36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idden="1">
      <c r="A36" s="24">
        <v>35.0</v>
      </c>
      <c r="B36" s="25" t="s">
        <v>18</v>
      </c>
      <c r="C36" s="25" t="s">
        <v>160</v>
      </c>
      <c r="D36" s="26" t="s">
        <v>165</v>
      </c>
      <c r="E36" s="27" t="s">
        <v>95</v>
      </c>
      <c r="F36" s="27" t="s">
        <v>14</v>
      </c>
      <c r="G36" s="27" t="s">
        <v>116</v>
      </c>
      <c r="H36" s="27" t="s">
        <v>122</v>
      </c>
      <c r="I36" s="27" t="s">
        <v>106</v>
      </c>
      <c r="J36" s="28" t="s">
        <v>162</v>
      </c>
      <c r="K36" s="29"/>
      <c r="L36" s="29"/>
      <c r="M36" s="28" t="s">
        <v>166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idden="1">
      <c r="A37" s="30">
        <v>36.0</v>
      </c>
      <c r="B37" s="31" t="s">
        <v>18</v>
      </c>
      <c r="C37" s="31" t="s">
        <v>167</v>
      </c>
      <c r="D37" s="32" t="s">
        <v>168</v>
      </c>
      <c r="E37" s="33" t="s">
        <v>95</v>
      </c>
      <c r="F37" s="33" t="s">
        <v>14</v>
      </c>
      <c r="G37" s="33" t="s">
        <v>116</v>
      </c>
      <c r="H37" s="33" t="s">
        <v>117</v>
      </c>
      <c r="I37" s="33" t="s">
        <v>106</v>
      </c>
      <c r="J37" s="34" t="s">
        <v>169</v>
      </c>
      <c r="K37" s="35"/>
      <c r="L37" s="35"/>
      <c r="M37" s="36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idden="1">
      <c r="A38" s="24">
        <v>37.0</v>
      </c>
      <c r="B38" s="25" t="s">
        <v>18</v>
      </c>
      <c r="C38" s="25" t="s">
        <v>167</v>
      </c>
      <c r="D38" s="26" t="s">
        <v>170</v>
      </c>
      <c r="E38" s="27" t="s">
        <v>95</v>
      </c>
      <c r="F38" s="27" t="s">
        <v>14</v>
      </c>
      <c r="G38" s="27" t="s">
        <v>116</v>
      </c>
      <c r="H38" s="27" t="s">
        <v>122</v>
      </c>
      <c r="I38" s="27" t="s">
        <v>106</v>
      </c>
      <c r="J38" s="28" t="s">
        <v>169</v>
      </c>
      <c r="K38" s="29"/>
      <c r="L38" s="29"/>
      <c r="M38" s="3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idden="1">
      <c r="A39" s="30">
        <v>38.0</v>
      </c>
      <c r="B39" s="31" t="s">
        <v>18</v>
      </c>
      <c r="C39" s="31" t="s">
        <v>167</v>
      </c>
      <c r="D39" s="32" t="s">
        <v>171</v>
      </c>
      <c r="E39" s="33" t="s">
        <v>95</v>
      </c>
      <c r="F39" s="33" t="s">
        <v>14</v>
      </c>
      <c r="G39" s="33" t="s">
        <v>116</v>
      </c>
      <c r="H39" s="33" t="s">
        <v>122</v>
      </c>
      <c r="I39" s="33" t="s">
        <v>106</v>
      </c>
      <c r="J39" s="34" t="s">
        <v>169</v>
      </c>
      <c r="K39" s="35"/>
      <c r="L39" s="35"/>
      <c r="M39" s="36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idden="1">
      <c r="A40" s="24">
        <v>39.0</v>
      </c>
      <c r="B40" s="25" t="s">
        <v>20</v>
      </c>
      <c r="C40" s="25" t="s">
        <v>172</v>
      </c>
      <c r="D40" s="26" t="s">
        <v>173</v>
      </c>
      <c r="E40" s="27" t="s">
        <v>95</v>
      </c>
      <c r="F40" s="27" t="s">
        <v>14</v>
      </c>
      <c r="G40" s="27" t="s">
        <v>116</v>
      </c>
      <c r="H40" s="27" t="s">
        <v>122</v>
      </c>
      <c r="I40" s="27" t="s">
        <v>174</v>
      </c>
      <c r="J40" s="28" t="s">
        <v>175</v>
      </c>
      <c r="K40" s="29"/>
      <c r="L40" s="29"/>
      <c r="M40" s="28" t="s">
        <v>176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idden="1">
      <c r="A41" s="30">
        <v>40.0</v>
      </c>
      <c r="B41" s="31" t="s">
        <v>20</v>
      </c>
      <c r="C41" s="31" t="s">
        <v>172</v>
      </c>
      <c r="D41" s="32" t="s">
        <v>177</v>
      </c>
      <c r="E41" s="33" t="s">
        <v>95</v>
      </c>
      <c r="F41" s="33" t="s">
        <v>14</v>
      </c>
      <c r="G41" s="33" t="s">
        <v>116</v>
      </c>
      <c r="H41" s="33" t="s">
        <v>122</v>
      </c>
      <c r="I41" s="33" t="s">
        <v>174</v>
      </c>
      <c r="J41" s="34" t="s">
        <v>175</v>
      </c>
      <c r="K41" s="35"/>
      <c r="L41" s="35"/>
      <c r="M41" s="36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idden="1">
      <c r="A42" s="24">
        <v>41.0</v>
      </c>
      <c r="B42" s="25" t="s">
        <v>20</v>
      </c>
      <c r="C42" s="25" t="s">
        <v>172</v>
      </c>
      <c r="D42" s="26" t="s">
        <v>178</v>
      </c>
      <c r="E42" s="27" t="s">
        <v>87</v>
      </c>
      <c r="F42" s="27" t="s">
        <v>14</v>
      </c>
      <c r="G42" s="27" t="s">
        <v>116</v>
      </c>
      <c r="H42" s="27" t="s">
        <v>122</v>
      </c>
      <c r="I42" s="27" t="s">
        <v>174</v>
      </c>
      <c r="J42" s="28" t="s">
        <v>179</v>
      </c>
      <c r="K42" s="29"/>
      <c r="L42" s="29"/>
      <c r="M42" s="37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idden="1">
      <c r="A43" s="30">
        <v>42.0</v>
      </c>
      <c r="B43" s="31" t="s">
        <v>20</v>
      </c>
      <c r="C43" s="31" t="s">
        <v>172</v>
      </c>
      <c r="D43" s="32" t="s">
        <v>180</v>
      </c>
      <c r="E43" s="33" t="s">
        <v>95</v>
      </c>
      <c r="F43" s="33" t="s">
        <v>14</v>
      </c>
      <c r="G43" s="33" t="s">
        <v>116</v>
      </c>
      <c r="H43" s="33" t="s">
        <v>122</v>
      </c>
      <c r="I43" s="33" t="s">
        <v>174</v>
      </c>
      <c r="J43" s="34" t="s">
        <v>179</v>
      </c>
      <c r="K43" s="35"/>
      <c r="L43" s="35"/>
      <c r="M43" s="36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idden="1">
      <c r="A44" s="24">
        <v>43.0</v>
      </c>
      <c r="B44" s="25" t="s">
        <v>20</v>
      </c>
      <c r="C44" s="25" t="s">
        <v>172</v>
      </c>
      <c r="D44" s="26" t="s">
        <v>181</v>
      </c>
      <c r="E44" s="27" t="s">
        <v>95</v>
      </c>
      <c r="F44" s="27" t="s">
        <v>14</v>
      </c>
      <c r="G44" s="27" t="s">
        <v>116</v>
      </c>
      <c r="H44" s="27" t="s">
        <v>122</v>
      </c>
      <c r="I44" s="27" t="s">
        <v>174</v>
      </c>
      <c r="J44" s="28" t="s">
        <v>179</v>
      </c>
      <c r="K44" s="29"/>
      <c r="L44" s="29"/>
      <c r="M44" s="37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idden="1">
      <c r="A45" s="30">
        <v>44.0</v>
      </c>
      <c r="B45" s="31" t="s">
        <v>20</v>
      </c>
      <c r="C45" s="31" t="s">
        <v>182</v>
      </c>
      <c r="D45" s="32" t="s">
        <v>183</v>
      </c>
      <c r="E45" s="33" t="s">
        <v>95</v>
      </c>
      <c r="F45" s="33" t="s">
        <v>14</v>
      </c>
      <c r="G45" s="33" t="s">
        <v>116</v>
      </c>
      <c r="H45" s="33" t="s">
        <v>122</v>
      </c>
      <c r="I45" s="33" t="s">
        <v>174</v>
      </c>
      <c r="J45" s="34" t="s">
        <v>175</v>
      </c>
      <c r="K45" s="35"/>
      <c r="L45" s="35"/>
      <c r="M45" s="36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idden="1">
      <c r="A46" s="24">
        <v>45.0</v>
      </c>
      <c r="B46" s="25" t="s">
        <v>20</v>
      </c>
      <c r="C46" s="25" t="s">
        <v>182</v>
      </c>
      <c r="D46" s="26" t="s">
        <v>184</v>
      </c>
      <c r="E46" s="27" t="s">
        <v>95</v>
      </c>
      <c r="F46" s="27" t="s">
        <v>14</v>
      </c>
      <c r="G46" s="27" t="s">
        <v>116</v>
      </c>
      <c r="H46" s="27" t="s">
        <v>122</v>
      </c>
      <c r="I46" s="27" t="s">
        <v>174</v>
      </c>
      <c r="J46" s="28" t="s">
        <v>179</v>
      </c>
      <c r="K46" s="29"/>
      <c r="L46" s="29"/>
      <c r="M46" s="37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idden="1">
      <c r="A47" s="30">
        <v>46.0</v>
      </c>
      <c r="B47" s="31" t="s">
        <v>20</v>
      </c>
      <c r="C47" s="31" t="s">
        <v>182</v>
      </c>
      <c r="D47" s="32" t="s">
        <v>185</v>
      </c>
      <c r="E47" s="33" t="s">
        <v>95</v>
      </c>
      <c r="F47" s="33" t="s">
        <v>14</v>
      </c>
      <c r="G47" s="33" t="s">
        <v>186</v>
      </c>
      <c r="H47" s="33" t="s">
        <v>131</v>
      </c>
      <c r="I47" s="33" t="s">
        <v>174</v>
      </c>
      <c r="J47" s="34" t="s">
        <v>187</v>
      </c>
      <c r="K47" s="35"/>
      <c r="L47" s="35"/>
      <c r="M47" s="36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idden="1">
      <c r="A48" s="24">
        <v>47.0</v>
      </c>
      <c r="B48" s="25" t="s">
        <v>20</v>
      </c>
      <c r="C48" s="25" t="s">
        <v>182</v>
      </c>
      <c r="D48" s="26" t="s">
        <v>188</v>
      </c>
      <c r="E48" s="27" t="s">
        <v>95</v>
      </c>
      <c r="F48" s="27" t="s">
        <v>14</v>
      </c>
      <c r="G48" s="27" t="s">
        <v>116</v>
      </c>
      <c r="H48" s="27" t="s">
        <v>131</v>
      </c>
      <c r="I48" s="27" t="s">
        <v>174</v>
      </c>
      <c r="J48" s="28" t="s">
        <v>175</v>
      </c>
      <c r="K48" s="29"/>
      <c r="L48" s="29"/>
      <c r="M48" s="37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idden="1">
      <c r="A49" s="30">
        <v>48.0</v>
      </c>
      <c r="B49" s="31" t="s">
        <v>20</v>
      </c>
      <c r="C49" s="31" t="s">
        <v>182</v>
      </c>
      <c r="D49" s="32" t="s">
        <v>189</v>
      </c>
      <c r="E49" s="33" t="s">
        <v>95</v>
      </c>
      <c r="F49" s="33" t="s">
        <v>14</v>
      </c>
      <c r="G49" s="33" t="s">
        <v>116</v>
      </c>
      <c r="H49" s="33" t="s">
        <v>131</v>
      </c>
      <c r="I49" s="33" t="s">
        <v>174</v>
      </c>
      <c r="J49" s="34" t="s">
        <v>187</v>
      </c>
      <c r="K49" s="35"/>
      <c r="L49" s="35"/>
      <c r="M49" s="36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idden="1">
      <c r="A50" s="24">
        <v>49.0</v>
      </c>
      <c r="B50" s="25" t="s">
        <v>20</v>
      </c>
      <c r="C50" s="25" t="s">
        <v>190</v>
      </c>
      <c r="D50" s="26" t="s">
        <v>191</v>
      </c>
      <c r="E50" s="27" t="s">
        <v>95</v>
      </c>
      <c r="F50" s="27" t="s">
        <v>23</v>
      </c>
      <c r="G50" s="27" t="s">
        <v>186</v>
      </c>
      <c r="H50" s="27" t="s">
        <v>131</v>
      </c>
      <c r="I50" s="27" t="s">
        <v>174</v>
      </c>
      <c r="J50" s="28" t="s">
        <v>192</v>
      </c>
      <c r="K50" s="29"/>
      <c r="L50" s="29"/>
      <c r="M50" s="28" t="s">
        <v>193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idden="1">
      <c r="A51" s="30">
        <v>50.0</v>
      </c>
      <c r="B51" s="31" t="s">
        <v>20</v>
      </c>
      <c r="C51" s="31" t="s">
        <v>190</v>
      </c>
      <c r="D51" s="32" t="s">
        <v>194</v>
      </c>
      <c r="E51" s="33" t="s">
        <v>95</v>
      </c>
      <c r="F51" s="33" t="s">
        <v>23</v>
      </c>
      <c r="G51" s="33" t="s">
        <v>195</v>
      </c>
      <c r="H51" s="33" t="s">
        <v>89</v>
      </c>
      <c r="I51" s="33" t="s">
        <v>174</v>
      </c>
      <c r="J51" s="34" t="s">
        <v>192</v>
      </c>
      <c r="K51" s="35"/>
      <c r="L51" s="35"/>
      <c r="M51" s="36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idden="1">
      <c r="A52" s="24">
        <v>51.0</v>
      </c>
      <c r="B52" s="25" t="s">
        <v>20</v>
      </c>
      <c r="C52" s="25" t="s">
        <v>190</v>
      </c>
      <c r="D52" s="26" t="s">
        <v>196</v>
      </c>
      <c r="E52" s="27" t="s">
        <v>95</v>
      </c>
      <c r="F52" s="27" t="s">
        <v>23</v>
      </c>
      <c r="G52" s="27" t="s">
        <v>186</v>
      </c>
      <c r="H52" s="27" t="s">
        <v>89</v>
      </c>
      <c r="I52" s="27" t="s">
        <v>174</v>
      </c>
      <c r="J52" s="28" t="s">
        <v>197</v>
      </c>
      <c r="K52" s="29"/>
      <c r="L52" s="29"/>
      <c r="M52" s="28" t="s">
        <v>198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idden="1">
      <c r="A53" s="30">
        <v>52.0</v>
      </c>
      <c r="B53" s="31" t="s">
        <v>22</v>
      </c>
      <c r="C53" s="31" t="s">
        <v>199</v>
      </c>
      <c r="D53" s="32" t="s">
        <v>200</v>
      </c>
      <c r="E53" s="33" t="s">
        <v>95</v>
      </c>
      <c r="F53" s="33" t="s">
        <v>23</v>
      </c>
      <c r="G53" s="33" t="s">
        <v>186</v>
      </c>
      <c r="H53" s="33" t="s">
        <v>117</v>
      </c>
      <c r="I53" s="33" t="s">
        <v>201</v>
      </c>
      <c r="J53" s="34" t="s">
        <v>202</v>
      </c>
      <c r="K53" s="35"/>
      <c r="L53" s="35"/>
      <c r="M53" s="34" t="s">
        <v>203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idden="1">
      <c r="A54" s="24">
        <v>53.0</v>
      </c>
      <c r="B54" s="25" t="s">
        <v>22</v>
      </c>
      <c r="C54" s="25" t="s">
        <v>199</v>
      </c>
      <c r="D54" s="26" t="s">
        <v>204</v>
      </c>
      <c r="E54" s="27" t="s">
        <v>95</v>
      </c>
      <c r="F54" s="27" t="s">
        <v>23</v>
      </c>
      <c r="G54" s="27" t="s">
        <v>186</v>
      </c>
      <c r="H54" s="27" t="s">
        <v>117</v>
      </c>
      <c r="I54" s="27" t="s">
        <v>201</v>
      </c>
      <c r="J54" s="28" t="s">
        <v>202</v>
      </c>
      <c r="K54" s="29"/>
      <c r="L54" s="29"/>
      <c r="M54" s="37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idden="1">
      <c r="A55" s="30">
        <v>54.0</v>
      </c>
      <c r="B55" s="31" t="s">
        <v>22</v>
      </c>
      <c r="C55" s="31" t="s">
        <v>199</v>
      </c>
      <c r="D55" s="32" t="s">
        <v>205</v>
      </c>
      <c r="E55" s="33" t="s">
        <v>95</v>
      </c>
      <c r="F55" s="33" t="s">
        <v>23</v>
      </c>
      <c r="G55" s="33" t="s">
        <v>186</v>
      </c>
      <c r="H55" s="33" t="s">
        <v>122</v>
      </c>
      <c r="I55" s="33" t="s">
        <v>201</v>
      </c>
      <c r="J55" s="34" t="s">
        <v>202</v>
      </c>
      <c r="K55" s="35"/>
      <c r="L55" s="35"/>
      <c r="M55" s="36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idden="1">
      <c r="A56" s="24">
        <v>55.0</v>
      </c>
      <c r="B56" s="25" t="s">
        <v>22</v>
      </c>
      <c r="C56" s="25" t="s">
        <v>199</v>
      </c>
      <c r="D56" s="26" t="s">
        <v>206</v>
      </c>
      <c r="E56" s="27" t="s">
        <v>95</v>
      </c>
      <c r="F56" s="27" t="s">
        <v>23</v>
      </c>
      <c r="G56" s="27" t="s">
        <v>186</v>
      </c>
      <c r="H56" s="27" t="s">
        <v>122</v>
      </c>
      <c r="I56" s="27" t="s">
        <v>201</v>
      </c>
      <c r="J56" s="28" t="s">
        <v>202</v>
      </c>
      <c r="K56" s="29"/>
      <c r="L56" s="29"/>
      <c r="M56" s="37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idden="1">
      <c r="A57" s="30">
        <v>56.0</v>
      </c>
      <c r="B57" s="31" t="s">
        <v>22</v>
      </c>
      <c r="C57" s="31" t="s">
        <v>199</v>
      </c>
      <c r="D57" s="32" t="s">
        <v>207</v>
      </c>
      <c r="E57" s="33" t="s">
        <v>95</v>
      </c>
      <c r="F57" s="33" t="s">
        <v>23</v>
      </c>
      <c r="G57" s="33" t="s">
        <v>186</v>
      </c>
      <c r="H57" s="33" t="s">
        <v>131</v>
      </c>
      <c r="I57" s="33" t="s">
        <v>201</v>
      </c>
      <c r="J57" s="34" t="s">
        <v>202</v>
      </c>
      <c r="K57" s="35"/>
      <c r="L57" s="35"/>
      <c r="M57" s="36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idden="1">
      <c r="A58" s="24">
        <v>57.0</v>
      </c>
      <c r="B58" s="25" t="s">
        <v>22</v>
      </c>
      <c r="C58" s="25" t="s">
        <v>208</v>
      </c>
      <c r="D58" s="26" t="s">
        <v>209</v>
      </c>
      <c r="E58" s="27" t="s">
        <v>95</v>
      </c>
      <c r="F58" s="27" t="s">
        <v>23</v>
      </c>
      <c r="G58" s="27" t="s">
        <v>186</v>
      </c>
      <c r="H58" s="27" t="s">
        <v>122</v>
      </c>
      <c r="I58" s="27" t="s">
        <v>201</v>
      </c>
      <c r="J58" s="28" t="s">
        <v>210</v>
      </c>
      <c r="K58" s="29"/>
      <c r="L58" s="29"/>
      <c r="M58" s="37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idden="1">
      <c r="A59" s="30">
        <v>58.0</v>
      </c>
      <c r="B59" s="31" t="s">
        <v>22</v>
      </c>
      <c r="C59" s="31" t="s">
        <v>208</v>
      </c>
      <c r="D59" s="32" t="s">
        <v>211</v>
      </c>
      <c r="E59" s="33" t="s">
        <v>95</v>
      </c>
      <c r="F59" s="33" t="s">
        <v>23</v>
      </c>
      <c r="G59" s="33" t="s">
        <v>186</v>
      </c>
      <c r="H59" s="33" t="s">
        <v>122</v>
      </c>
      <c r="I59" s="33" t="s">
        <v>201</v>
      </c>
      <c r="J59" s="34" t="s">
        <v>212</v>
      </c>
      <c r="K59" s="35"/>
      <c r="L59" s="35"/>
      <c r="M59" s="34" t="s">
        <v>213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idden="1">
      <c r="A60" s="24">
        <v>59.0</v>
      </c>
      <c r="B60" s="25" t="s">
        <v>22</v>
      </c>
      <c r="C60" s="25" t="s">
        <v>208</v>
      </c>
      <c r="D60" s="26" t="s">
        <v>214</v>
      </c>
      <c r="E60" s="27" t="s">
        <v>95</v>
      </c>
      <c r="F60" s="27" t="s">
        <v>23</v>
      </c>
      <c r="G60" s="27" t="s">
        <v>186</v>
      </c>
      <c r="H60" s="27" t="s">
        <v>131</v>
      </c>
      <c r="I60" s="27" t="s">
        <v>201</v>
      </c>
      <c r="J60" s="28" t="s">
        <v>210</v>
      </c>
      <c r="K60" s="29"/>
      <c r="L60" s="29"/>
      <c r="M60" s="37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idden="1">
      <c r="A61" s="30">
        <v>60.0</v>
      </c>
      <c r="B61" s="31" t="s">
        <v>22</v>
      </c>
      <c r="C61" s="31" t="s">
        <v>208</v>
      </c>
      <c r="D61" s="32" t="s">
        <v>215</v>
      </c>
      <c r="E61" s="33" t="s">
        <v>95</v>
      </c>
      <c r="F61" s="33" t="s">
        <v>23</v>
      </c>
      <c r="G61" s="33" t="s">
        <v>186</v>
      </c>
      <c r="H61" s="33" t="s">
        <v>131</v>
      </c>
      <c r="I61" s="33" t="s">
        <v>201</v>
      </c>
      <c r="J61" s="34" t="s">
        <v>210</v>
      </c>
      <c r="K61" s="35"/>
      <c r="L61" s="35"/>
      <c r="M61" s="36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idden="1">
      <c r="A62" s="24">
        <v>61.0</v>
      </c>
      <c r="B62" s="25" t="s">
        <v>22</v>
      </c>
      <c r="C62" s="25" t="s">
        <v>208</v>
      </c>
      <c r="D62" s="26" t="s">
        <v>216</v>
      </c>
      <c r="E62" s="27" t="s">
        <v>95</v>
      </c>
      <c r="F62" s="27" t="s">
        <v>23</v>
      </c>
      <c r="G62" s="27" t="s">
        <v>186</v>
      </c>
      <c r="H62" s="27" t="s">
        <v>89</v>
      </c>
      <c r="I62" s="27" t="s">
        <v>201</v>
      </c>
      <c r="J62" s="28" t="s">
        <v>210</v>
      </c>
      <c r="K62" s="29"/>
      <c r="L62" s="29"/>
      <c r="M62" s="37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idden="1">
      <c r="A63" s="30">
        <v>62.0</v>
      </c>
      <c r="B63" s="31" t="s">
        <v>22</v>
      </c>
      <c r="C63" s="31" t="s">
        <v>217</v>
      </c>
      <c r="D63" s="32" t="s">
        <v>218</v>
      </c>
      <c r="E63" s="33" t="s">
        <v>95</v>
      </c>
      <c r="F63" s="33" t="s">
        <v>23</v>
      </c>
      <c r="G63" s="33" t="s">
        <v>186</v>
      </c>
      <c r="H63" s="33" t="s">
        <v>131</v>
      </c>
      <c r="I63" s="33" t="s">
        <v>201</v>
      </c>
      <c r="J63" s="34" t="s">
        <v>219</v>
      </c>
      <c r="K63" s="35"/>
      <c r="L63" s="35"/>
      <c r="M63" s="34" t="s">
        <v>220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idden="1">
      <c r="A64" s="24">
        <v>63.0</v>
      </c>
      <c r="B64" s="25" t="s">
        <v>22</v>
      </c>
      <c r="C64" s="25" t="s">
        <v>217</v>
      </c>
      <c r="D64" s="26" t="s">
        <v>221</v>
      </c>
      <c r="E64" s="27" t="s">
        <v>95</v>
      </c>
      <c r="F64" s="27" t="s">
        <v>23</v>
      </c>
      <c r="G64" s="27" t="s">
        <v>186</v>
      </c>
      <c r="H64" s="27" t="s">
        <v>89</v>
      </c>
      <c r="I64" s="27" t="s">
        <v>201</v>
      </c>
      <c r="J64" s="28" t="s">
        <v>219</v>
      </c>
      <c r="K64" s="29"/>
      <c r="L64" s="29"/>
      <c r="M64" s="37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idden="1">
      <c r="A65" s="30">
        <v>64.0</v>
      </c>
      <c r="B65" s="31" t="s">
        <v>22</v>
      </c>
      <c r="C65" s="31" t="s">
        <v>217</v>
      </c>
      <c r="D65" s="32" t="s">
        <v>222</v>
      </c>
      <c r="E65" s="33" t="s">
        <v>95</v>
      </c>
      <c r="F65" s="33" t="s">
        <v>23</v>
      </c>
      <c r="G65" s="33" t="s">
        <v>186</v>
      </c>
      <c r="H65" s="33" t="s">
        <v>89</v>
      </c>
      <c r="I65" s="33" t="s">
        <v>201</v>
      </c>
      <c r="J65" s="34" t="s">
        <v>223</v>
      </c>
      <c r="K65" s="35"/>
      <c r="L65" s="35"/>
      <c r="M65" s="34" t="s">
        <v>224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idden="1">
      <c r="A66" s="24">
        <v>65.0</v>
      </c>
      <c r="B66" s="25" t="s">
        <v>22</v>
      </c>
      <c r="C66" s="25" t="s">
        <v>217</v>
      </c>
      <c r="D66" s="26" t="s">
        <v>225</v>
      </c>
      <c r="E66" s="27" t="s">
        <v>95</v>
      </c>
      <c r="F66" s="27" t="s">
        <v>23</v>
      </c>
      <c r="G66" s="27" t="s">
        <v>186</v>
      </c>
      <c r="H66" s="27" t="s">
        <v>89</v>
      </c>
      <c r="I66" s="27" t="s">
        <v>201</v>
      </c>
      <c r="J66" s="28" t="s">
        <v>223</v>
      </c>
      <c r="K66" s="29"/>
      <c r="L66" s="29"/>
      <c r="M66" s="37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idden="1">
      <c r="A67" s="30">
        <v>66.0</v>
      </c>
      <c r="B67" s="31" t="s">
        <v>25</v>
      </c>
      <c r="C67" s="31" t="s">
        <v>226</v>
      </c>
      <c r="D67" s="32" t="s">
        <v>227</v>
      </c>
      <c r="E67" s="33" t="s">
        <v>95</v>
      </c>
      <c r="F67" s="33" t="s">
        <v>23</v>
      </c>
      <c r="G67" s="33" t="s">
        <v>186</v>
      </c>
      <c r="H67" s="33" t="s">
        <v>122</v>
      </c>
      <c r="I67" s="33" t="s">
        <v>228</v>
      </c>
      <c r="J67" s="34" t="s">
        <v>229</v>
      </c>
      <c r="K67" s="35"/>
      <c r="L67" s="35"/>
      <c r="M67" s="34" t="s">
        <v>230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idden="1">
      <c r="A68" s="24">
        <v>67.0</v>
      </c>
      <c r="B68" s="25" t="s">
        <v>25</v>
      </c>
      <c r="C68" s="25" t="s">
        <v>226</v>
      </c>
      <c r="D68" s="26" t="s">
        <v>231</v>
      </c>
      <c r="E68" s="27" t="s">
        <v>95</v>
      </c>
      <c r="F68" s="27" t="s">
        <v>23</v>
      </c>
      <c r="G68" s="27" t="s">
        <v>116</v>
      </c>
      <c r="H68" s="27" t="s">
        <v>122</v>
      </c>
      <c r="I68" s="27" t="s">
        <v>228</v>
      </c>
      <c r="J68" s="28" t="s">
        <v>232</v>
      </c>
      <c r="K68" s="29"/>
      <c r="L68" s="29"/>
      <c r="M68" s="37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idden="1">
      <c r="A69" s="30">
        <v>68.0</v>
      </c>
      <c r="B69" s="31" t="s">
        <v>25</v>
      </c>
      <c r="C69" s="31" t="s">
        <v>226</v>
      </c>
      <c r="D69" s="32" t="s">
        <v>233</v>
      </c>
      <c r="E69" s="33" t="s">
        <v>95</v>
      </c>
      <c r="F69" s="33" t="s">
        <v>23</v>
      </c>
      <c r="G69" s="33" t="s">
        <v>186</v>
      </c>
      <c r="H69" s="33" t="s">
        <v>131</v>
      </c>
      <c r="I69" s="33" t="s">
        <v>228</v>
      </c>
      <c r="J69" s="34" t="s">
        <v>229</v>
      </c>
      <c r="K69" s="35"/>
      <c r="L69" s="35"/>
      <c r="M69" s="36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idden="1">
      <c r="A70" s="24">
        <v>69.0</v>
      </c>
      <c r="B70" s="25" t="s">
        <v>25</v>
      </c>
      <c r="C70" s="25" t="s">
        <v>226</v>
      </c>
      <c r="D70" s="26" t="s">
        <v>234</v>
      </c>
      <c r="E70" s="27" t="s">
        <v>95</v>
      </c>
      <c r="F70" s="27" t="s">
        <v>23</v>
      </c>
      <c r="G70" s="27" t="s">
        <v>186</v>
      </c>
      <c r="H70" s="27" t="s">
        <v>131</v>
      </c>
      <c r="I70" s="27" t="s">
        <v>228</v>
      </c>
      <c r="J70" s="28" t="s">
        <v>229</v>
      </c>
      <c r="K70" s="29"/>
      <c r="L70" s="29"/>
      <c r="M70" s="37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idden="1">
      <c r="A71" s="30">
        <v>70.0</v>
      </c>
      <c r="B71" s="31" t="s">
        <v>25</v>
      </c>
      <c r="C71" s="31" t="s">
        <v>226</v>
      </c>
      <c r="D71" s="32" t="s">
        <v>235</v>
      </c>
      <c r="E71" s="33" t="s">
        <v>95</v>
      </c>
      <c r="F71" s="33" t="s">
        <v>23</v>
      </c>
      <c r="G71" s="33" t="s">
        <v>186</v>
      </c>
      <c r="H71" s="33" t="s">
        <v>131</v>
      </c>
      <c r="I71" s="33" t="s">
        <v>228</v>
      </c>
      <c r="J71" s="34" t="s">
        <v>229</v>
      </c>
      <c r="K71" s="35"/>
      <c r="L71" s="35"/>
      <c r="M71" s="36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idden="1">
      <c r="A72" s="24">
        <v>71.0</v>
      </c>
      <c r="B72" s="25" t="s">
        <v>25</v>
      </c>
      <c r="C72" s="25" t="s">
        <v>236</v>
      </c>
      <c r="D72" s="26" t="s">
        <v>237</v>
      </c>
      <c r="E72" s="27" t="s">
        <v>95</v>
      </c>
      <c r="F72" s="27" t="s">
        <v>23</v>
      </c>
      <c r="G72" s="27" t="s">
        <v>195</v>
      </c>
      <c r="H72" s="27" t="s">
        <v>131</v>
      </c>
      <c r="I72" s="27" t="s">
        <v>228</v>
      </c>
      <c r="J72" s="28" t="s">
        <v>238</v>
      </c>
      <c r="K72" s="29"/>
      <c r="L72" s="29"/>
      <c r="M72" s="37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idden="1">
      <c r="A73" s="30">
        <v>72.0</v>
      </c>
      <c r="B73" s="31" t="s">
        <v>25</v>
      </c>
      <c r="C73" s="31" t="s">
        <v>236</v>
      </c>
      <c r="D73" s="32" t="s">
        <v>239</v>
      </c>
      <c r="E73" s="33" t="s">
        <v>95</v>
      </c>
      <c r="F73" s="33" t="s">
        <v>23</v>
      </c>
      <c r="G73" s="33" t="s">
        <v>195</v>
      </c>
      <c r="H73" s="33" t="s">
        <v>89</v>
      </c>
      <c r="I73" s="33" t="s">
        <v>228</v>
      </c>
      <c r="J73" s="34" t="s">
        <v>238</v>
      </c>
      <c r="K73" s="35"/>
      <c r="L73" s="35"/>
      <c r="M73" s="36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idden="1">
      <c r="A74" s="24">
        <v>73.0</v>
      </c>
      <c r="B74" s="25" t="s">
        <v>27</v>
      </c>
      <c r="C74" s="25" t="s">
        <v>240</v>
      </c>
      <c r="D74" s="26" t="s">
        <v>241</v>
      </c>
      <c r="E74" s="27" t="s">
        <v>95</v>
      </c>
      <c r="F74" s="27" t="s">
        <v>28</v>
      </c>
      <c r="G74" s="27" t="s">
        <v>195</v>
      </c>
      <c r="H74" s="27" t="s">
        <v>89</v>
      </c>
      <c r="I74" s="27" t="s">
        <v>242</v>
      </c>
      <c r="J74" s="28" t="s">
        <v>243</v>
      </c>
      <c r="K74" s="29"/>
      <c r="L74" s="29"/>
      <c r="M74" s="28" t="s">
        <v>244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idden="1">
      <c r="A75" s="30">
        <v>74.0</v>
      </c>
      <c r="B75" s="31" t="s">
        <v>27</v>
      </c>
      <c r="C75" s="31" t="s">
        <v>240</v>
      </c>
      <c r="D75" s="32" t="s">
        <v>245</v>
      </c>
      <c r="E75" s="33" t="s">
        <v>95</v>
      </c>
      <c r="F75" s="33" t="s">
        <v>28</v>
      </c>
      <c r="G75" s="33" t="s">
        <v>195</v>
      </c>
      <c r="H75" s="33" t="s">
        <v>89</v>
      </c>
      <c r="I75" s="33" t="s">
        <v>242</v>
      </c>
      <c r="J75" s="34" t="s">
        <v>243</v>
      </c>
      <c r="K75" s="35"/>
      <c r="L75" s="35"/>
      <c r="M75" s="36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idden="1">
      <c r="A76" s="24">
        <v>75.0</v>
      </c>
      <c r="B76" s="25" t="s">
        <v>27</v>
      </c>
      <c r="C76" s="25" t="s">
        <v>240</v>
      </c>
      <c r="D76" s="26" t="s">
        <v>246</v>
      </c>
      <c r="E76" s="27" t="s">
        <v>95</v>
      </c>
      <c r="F76" s="27" t="s">
        <v>28</v>
      </c>
      <c r="G76" s="27" t="s">
        <v>195</v>
      </c>
      <c r="H76" s="27" t="s">
        <v>89</v>
      </c>
      <c r="I76" s="27" t="s">
        <v>242</v>
      </c>
      <c r="J76" s="28" t="s">
        <v>247</v>
      </c>
      <c r="K76" s="29"/>
      <c r="L76" s="29"/>
      <c r="M76" s="28" t="s">
        <v>248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idden="1">
      <c r="A77" s="30">
        <v>76.0</v>
      </c>
      <c r="B77" s="31" t="s">
        <v>27</v>
      </c>
      <c r="C77" s="31" t="s">
        <v>249</v>
      </c>
      <c r="D77" s="32" t="s">
        <v>250</v>
      </c>
      <c r="E77" s="33" t="s">
        <v>95</v>
      </c>
      <c r="F77" s="33" t="s">
        <v>28</v>
      </c>
      <c r="G77" s="33" t="s">
        <v>195</v>
      </c>
      <c r="H77" s="33" t="s">
        <v>131</v>
      </c>
      <c r="I77" s="33" t="s">
        <v>242</v>
      </c>
      <c r="J77" s="34" t="s">
        <v>251</v>
      </c>
      <c r="K77" s="35"/>
      <c r="L77" s="35"/>
      <c r="M77" s="34" t="s">
        <v>252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idden="1">
      <c r="A78" s="24">
        <v>77.0</v>
      </c>
      <c r="B78" s="25" t="s">
        <v>27</v>
      </c>
      <c r="C78" s="25" t="s">
        <v>249</v>
      </c>
      <c r="D78" s="26" t="s">
        <v>253</v>
      </c>
      <c r="E78" s="27" t="s">
        <v>95</v>
      </c>
      <c r="F78" s="27" t="s">
        <v>28</v>
      </c>
      <c r="G78" s="27" t="s">
        <v>195</v>
      </c>
      <c r="H78" s="27" t="s">
        <v>89</v>
      </c>
      <c r="I78" s="27" t="s">
        <v>242</v>
      </c>
      <c r="J78" s="28" t="s">
        <v>254</v>
      </c>
      <c r="K78" s="29"/>
      <c r="L78" s="29"/>
      <c r="M78" s="37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idden="1">
      <c r="A79" s="30">
        <v>78.0</v>
      </c>
      <c r="B79" s="31" t="s">
        <v>27</v>
      </c>
      <c r="C79" s="31" t="s">
        <v>249</v>
      </c>
      <c r="D79" s="32" t="s">
        <v>255</v>
      </c>
      <c r="E79" s="33" t="s">
        <v>95</v>
      </c>
      <c r="F79" s="33" t="s">
        <v>28</v>
      </c>
      <c r="G79" s="33" t="s">
        <v>195</v>
      </c>
      <c r="H79" s="33" t="s">
        <v>89</v>
      </c>
      <c r="I79" s="33" t="s">
        <v>242</v>
      </c>
      <c r="J79" s="34" t="s">
        <v>254</v>
      </c>
      <c r="K79" s="35"/>
      <c r="L79" s="35"/>
      <c r="M79" s="34" t="s">
        <v>256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idden="1">
      <c r="A80" s="24">
        <v>79.0</v>
      </c>
      <c r="B80" s="25" t="s">
        <v>27</v>
      </c>
      <c r="C80" s="25" t="s">
        <v>249</v>
      </c>
      <c r="D80" s="26" t="s">
        <v>257</v>
      </c>
      <c r="E80" s="27" t="s">
        <v>95</v>
      </c>
      <c r="F80" s="27" t="s">
        <v>28</v>
      </c>
      <c r="G80" s="27" t="s">
        <v>195</v>
      </c>
      <c r="H80" s="27" t="s">
        <v>89</v>
      </c>
      <c r="I80" s="27" t="s">
        <v>242</v>
      </c>
      <c r="J80" s="28" t="s">
        <v>258</v>
      </c>
      <c r="K80" s="29"/>
      <c r="L80" s="29"/>
      <c r="M80" s="37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idden="1">
      <c r="A81" s="30">
        <v>80.0</v>
      </c>
      <c r="B81" s="31" t="s">
        <v>27</v>
      </c>
      <c r="C81" s="31" t="s">
        <v>259</v>
      </c>
      <c r="D81" s="32" t="s">
        <v>260</v>
      </c>
      <c r="E81" s="33" t="s">
        <v>95</v>
      </c>
      <c r="F81" s="33" t="s">
        <v>28</v>
      </c>
      <c r="G81" s="33" t="s">
        <v>195</v>
      </c>
      <c r="H81" s="33" t="s">
        <v>89</v>
      </c>
      <c r="I81" s="33" t="s">
        <v>242</v>
      </c>
      <c r="J81" s="34" t="s">
        <v>261</v>
      </c>
      <c r="K81" s="35"/>
      <c r="L81" s="35"/>
      <c r="M81" s="36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idden="1">
      <c r="A82" s="24">
        <v>81.0</v>
      </c>
      <c r="B82" s="25" t="s">
        <v>27</v>
      </c>
      <c r="C82" s="25" t="s">
        <v>259</v>
      </c>
      <c r="D82" s="26" t="s">
        <v>262</v>
      </c>
      <c r="E82" s="27" t="s">
        <v>95</v>
      </c>
      <c r="F82" s="27" t="s">
        <v>28</v>
      </c>
      <c r="G82" s="27" t="s">
        <v>195</v>
      </c>
      <c r="H82" s="27" t="s">
        <v>89</v>
      </c>
      <c r="I82" s="27" t="s">
        <v>242</v>
      </c>
      <c r="J82" s="28" t="s">
        <v>261</v>
      </c>
      <c r="K82" s="29"/>
      <c r="L82" s="29"/>
      <c r="M82" s="37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idden="1">
      <c r="A83" s="30">
        <v>82.0</v>
      </c>
      <c r="B83" s="31" t="s">
        <v>27</v>
      </c>
      <c r="C83" s="31" t="s">
        <v>259</v>
      </c>
      <c r="D83" s="32" t="s">
        <v>263</v>
      </c>
      <c r="E83" s="33" t="s">
        <v>95</v>
      </c>
      <c r="F83" s="33" t="s">
        <v>28</v>
      </c>
      <c r="G83" s="33" t="s">
        <v>195</v>
      </c>
      <c r="H83" s="33" t="s">
        <v>89</v>
      </c>
      <c r="I83" s="33" t="s">
        <v>242</v>
      </c>
      <c r="J83" s="34" t="s">
        <v>264</v>
      </c>
      <c r="K83" s="35"/>
      <c r="L83" s="35"/>
      <c r="M83" s="34" t="s">
        <v>265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idden="1">
      <c r="A84" s="24">
        <v>83.0</v>
      </c>
      <c r="B84" s="25" t="s">
        <v>30</v>
      </c>
      <c r="C84" s="25" t="s">
        <v>266</v>
      </c>
      <c r="D84" s="26" t="s">
        <v>267</v>
      </c>
      <c r="E84" s="27" t="s">
        <v>95</v>
      </c>
      <c r="F84" s="27" t="s">
        <v>31</v>
      </c>
      <c r="G84" s="27" t="s">
        <v>268</v>
      </c>
      <c r="H84" s="27" t="s">
        <v>89</v>
      </c>
      <c r="I84" s="27" t="s">
        <v>269</v>
      </c>
      <c r="J84" s="28" t="s">
        <v>270</v>
      </c>
      <c r="K84" s="29"/>
      <c r="L84" s="29"/>
      <c r="M84" s="28" t="s">
        <v>271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idden="1">
      <c r="A85" s="30">
        <v>84.0</v>
      </c>
      <c r="B85" s="31" t="s">
        <v>30</v>
      </c>
      <c r="C85" s="31" t="s">
        <v>266</v>
      </c>
      <c r="D85" s="32" t="s">
        <v>272</v>
      </c>
      <c r="E85" s="33" t="s">
        <v>95</v>
      </c>
      <c r="F85" s="33" t="s">
        <v>31</v>
      </c>
      <c r="G85" s="33" t="s">
        <v>268</v>
      </c>
      <c r="H85" s="33" t="s">
        <v>89</v>
      </c>
      <c r="I85" s="33" t="s">
        <v>269</v>
      </c>
      <c r="J85" s="34" t="s">
        <v>270</v>
      </c>
      <c r="K85" s="35"/>
      <c r="L85" s="35"/>
      <c r="M85" s="36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idden="1">
      <c r="A86" s="24">
        <v>85.0</v>
      </c>
      <c r="B86" s="25" t="s">
        <v>30</v>
      </c>
      <c r="C86" s="25" t="s">
        <v>266</v>
      </c>
      <c r="D86" s="26" t="s">
        <v>273</v>
      </c>
      <c r="E86" s="27" t="s">
        <v>95</v>
      </c>
      <c r="F86" s="27" t="s">
        <v>31</v>
      </c>
      <c r="G86" s="27" t="s">
        <v>268</v>
      </c>
      <c r="H86" s="27" t="s">
        <v>89</v>
      </c>
      <c r="I86" s="27" t="s">
        <v>269</v>
      </c>
      <c r="J86" s="28" t="s">
        <v>274</v>
      </c>
      <c r="K86" s="29"/>
      <c r="L86" s="29"/>
      <c r="M86" s="37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idden="1">
      <c r="A87" s="30">
        <v>86.0</v>
      </c>
      <c r="B87" s="31" t="s">
        <v>30</v>
      </c>
      <c r="C87" s="31" t="s">
        <v>266</v>
      </c>
      <c r="D87" s="32" t="s">
        <v>275</v>
      </c>
      <c r="E87" s="33" t="s">
        <v>95</v>
      </c>
      <c r="F87" s="33" t="s">
        <v>31</v>
      </c>
      <c r="G87" s="33" t="s">
        <v>268</v>
      </c>
      <c r="H87" s="33" t="s">
        <v>89</v>
      </c>
      <c r="I87" s="33" t="s">
        <v>269</v>
      </c>
      <c r="J87" s="34" t="s">
        <v>276</v>
      </c>
      <c r="K87" s="35"/>
      <c r="L87" s="35"/>
      <c r="M87" s="34" t="s">
        <v>277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idden="1">
      <c r="A88" s="24">
        <v>87.0</v>
      </c>
      <c r="B88" s="25" t="s">
        <v>30</v>
      </c>
      <c r="C88" s="25" t="s">
        <v>278</v>
      </c>
      <c r="D88" s="26" t="s">
        <v>279</v>
      </c>
      <c r="E88" s="27" t="s">
        <v>95</v>
      </c>
      <c r="F88" s="27" t="s">
        <v>28</v>
      </c>
      <c r="G88" s="27" t="s">
        <v>268</v>
      </c>
      <c r="H88" s="27" t="s">
        <v>89</v>
      </c>
      <c r="I88" s="27" t="s">
        <v>174</v>
      </c>
      <c r="J88" s="28" t="s">
        <v>280</v>
      </c>
      <c r="K88" s="29"/>
      <c r="L88" s="29"/>
      <c r="M88" s="28" t="s">
        <v>281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idden="1">
      <c r="A89" s="30">
        <v>88.0</v>
      </c>
      <c r="B89" s="31" t="s">
        <v>30</v>
      </c>
      <c r="C89" s="31" t="s">
        <v>278</v>
      </c>
      <c r="D89" s="32" t="s">
        <v>282</v>
      </c>
      <c r="E89" s="33" t="s">
        <v>95</v>
      </c>
      <c r="F89" s="33" t="s">
        <v>28</v>
      </c>
      <c r="G89" s="33" t="s">
        <v>268</v>
      </c>
      <c r="H89" s="33" t="s">
        <v>89</v>
      </c>
      <c r="I89" s="33" t="s">
        <v>174</v>
      </c>
      <c r="J89" s="34" t="s">
        <v>280</v>
      </c>
      <c r="K89" s="35"/>
      <c r="L89" s="35"/>
      <c r="M89" s="36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idden="1">
      <c r="A90" s="24">
        <v>89.0</v>
      </c>
      <c r="B90" s="25" t="s">
        <v>30</v>
      </c>
      <c r="C90" s="25" t="s">
        <v>278</v>
      </c>
      <c r="D90" s="26" t="s">
        <v>283</v>
      </c>
      <c r="E90" s="27" t="s">
        <v>95</v>
      </c>
      <c r="F90" s="27" t="s">
        <v>28</v>
      </c>
      <c r="G90" s="27" t="s">
        <v>268</v>
      </c>
      <c r="H90" s="27" t="s">
        <v>89</v>
      </c>
      <c r="I90" s="27" t="s">
        <v>174</v>
      </c>
      <c r="J90" s="28" t="s">
        <v>284</v>
      </c>
      <c r="K90" s="29"/>
      <c r="L90" s="29"/>
      <c r="M90" s="37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idden="1">
      <c r="A91" s="30">
        <v>90.0</v>
      </c>
      <c r="B91" s="31" t="s">
        <v>33</v>
      </c>
      <c r="C91" s="31" t="s">
        <v>285</v>
      </c>
      <c r="D91" s="32" t="s">
        <v>286</v>
      </c>
      <c r="E91" s="33" t="s">
        <v>95</v>
      </c>
      <c r="F91" s="33" t="s">
        <v>31</v>
      </c>
      <c r="G91" s="33" t="s">
        <v>116</v>
      </c>
      <c r="H91" s="33" t="s">
        <v>122</v>
      </c>
      <c r="I91" s="33" t="s">
        <v>97</v>
      </c>
      <c r="J91" s="34" t="s">
        <v>287</v>
      </c>
      <c r="K91" s="35"/>
      <c r="L91" s="35"/>
      <c r="M91" s="34" t="s">
        <v>288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idden="1">
      <c r="A92" s="24">
        <v>91.0</v>
      </c>
      <c r="B92" s="25" t="s">
        <v>33</v>
      </c>
      <c r="C92" s="25" t="s">
        <v>285</v>
      </c>
      <c r="D92" s="26" t="s">
        <v>289</v>
      </c>
      <c r="E92" s="27" t="s">
        <v>95</v>
      </c>
      <c r="F92" s="27" t="s">
        <v>31</v>
      </c>
      <c r="G92" s="27" t="s">
        <v>116</v>
      </c>
      <c r="H92" s="27" t="s">
        <v>122</v>
      </c>
      <c r="I92" s="27" t="s">
        <v>97</v>
      </c>
      <c r="J92" s="28" t="s">
        <v>287</v>
      </c>
      <c r="K92" s="29"/>
      <c r="L92" s="29"/>
      <c r="M92" s="37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idden="1">
      <c r="A93" s="30">
        <v>92.0</v>
      </c>
      <c r="B93" s="31" t="s">
        <v>33</v>
      </c>
      <c r="C93" s="31" t="s">
        <v>285</v>
      </c>
      <c r="D93" s="32" t="s">
        <v>290</v>
      </c>
      <c r="E93" s="33" t="s">
        <v>95</v>
      </c>
      <c r="F93" s="33" t="s">
        <v>31</v>
      </c>
      <c r="G93" s="33" t="s">
        <v>116</v>
      </c>
      <c r="H93" s="33" t="s">
        <v>122</v>
      </c>
      <c r="I93" s="33" t="s">
        <v>97</v>
      </c>
      <c r="J93" s="34" t="s">
        <v>287</v>
      </c>
      <c r="K93" s="35"/>
      <c r="L93" s="35"/>
      <c r="M93" s="36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idden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idden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idden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idden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idden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idden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idden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idden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idden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idden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idden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idden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idden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idden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idden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idden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idden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idden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idden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idden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idden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idden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idden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idden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idden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idden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idden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idden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idden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idden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idden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idden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idden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idden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idden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idden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idden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idden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idden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idden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idden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idden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idden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idden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idden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idden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idden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idden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idden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idden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idden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idden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idden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idden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idden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idden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idden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idden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idden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idden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idden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idden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idden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idden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idden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idden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idden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idden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idden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idden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idden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idden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idden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idden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idden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idden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idden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idden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idden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idden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idden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idden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idden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idden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idden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idden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idden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idden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idden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idden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idden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idden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idden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idden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idden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idden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idden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idden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idden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idden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idden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idden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idden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idden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idden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idden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idden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M$200">
    <filterColumn colId="8">
      <filters>
        <filter val="LP1"/>
      </filters>
    </filterColumn>
  </autoFilter>
  <conditionalFormatting sqref="F2:F200">
    <cfRule type="cellIs" dxfId="1" priority="1" stopIfTrue="1" operator="equal">
      <formula>"P4"</formula>
    </cfRule>
  </conditionalFormatting>
  <conditionalFormatting sqref="F2:F200">
    <cfRule type="cellIs" dxfId="2" priority="2" stopIfTrue="1" operator="equal">
      <formula>"P3"</formula>
    </cfRule>
  </conditionalFormatting>
  <conditionalFormatting sqref="F2:F200">
    <cfRule type="cellIs" dxfId="3" priority="3" stopIfTrue="1" operator="equal">
      <formula>"P2"</formula>
    </cfRule>
  </conditionalFormatting>
  <conditionalFormatting sqref="F2:F200">
    <cfRule type="cellIs" dxfId="4" priority="4" stopIfTrue="1" operator="equal">
      <formula>"P1"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13"/>
    <col customWidth="1" min="2" max="2" width="26.38"/>
    <col customWidth="1" min="3" max="3" width="10.75"/>
    <col customWidth="1" min="4" max="5" width="47.63"/>
  </cols>
  <sheetData>
    <row r="1">
      <c r="A1" s="7" t="s">
        <v>291</v>
      </c>
      <c r="B1" s="7" t="s">
        <v>292</v>
      </c>
      <c r="C1" s="7" t="s">
        <v>78</v>
      </c>
      <c r="D1" s="7" t="s">
        <v>293</v>
      </c>
      <c r="E1" s="7" t="s">
        <v>294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40" t="s">
        <v>295</v>
      </c>
      <c r="B2" s="41"/>
      <c r="C2" s="41"/>
      <c r="D2" s="41"/>
      <c r="E2" s="41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8" t="s">
        <v>296</v>
      </c>
      <c r="B3" s="42" t="s">
        <v>297</v>
      </c>
      <c r="C3" s="8" t="s">
        <v>95</v>
      </c>
      <c r="D3" s="8" t="s">
        <v>298</v>
      </c>
      <c r="E3" s="8" t="s">
        <v>299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8" t="s">
        <v>296</v>
      </c>
      <c r="B4" s="42" t="s">
        <v>300</v>
      </c>
      <c r="C4" s="8" t="s">
        <v>95</v>
      </c>
      <c r="D4" s="8" t="s">
        <v>298</v>
      </c>
      <c r="E4" s="8" t="s">
        <v>299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8" t="s">
        <v>296</v>
      </c>
      <c r="B5" s="42" t="s">
        <v>301</v>
      </c>
      <c r="C5" s="8" t="s">
        <v>302</v>
      </c>
      <c r="D5" s="8" t="s">
        <v>298</v>
      </c>
      <c r="E5" s="8" t="s">
        <v>303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8" t="s">
        <v>296</v>
      </c>
      <c r="B6" s="42" t="s">
        <v>304</v>
      </c>
      <c r="C6" s="8" t="s">
        <v>302</v>
      </c>
      <c r="D6" s="8" t="s">
        <v>298</v>
      </c>
      <c r="E6" s="8" t="s">
        <v>305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8" t="s">
        <v>296</v>
      </c>
      <c r="B7" s="42" t="s">
        <v>306</v>
      </c>
      <c r="C7" s="8" t="s">
        <v>302</v>
      </c>
      <c r="D7" s="8" t="s">
        <v>298</v>
      </c>
      <c r="E7" s="8" t="s">
        <v>305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8" t="s">
        <v>296</v>
      </c>
      <c r="B8" s="42" t="s">
        <v>307</v>
      </c>
      <c r="C8" s="8" t="s">
        <v>302</v>
      </c>
      <c r="D8" s="8" t="s">
        <v>298</v>
      </c>
      <c r="E8" s="8" t="s">
        <v>305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8" t="s">
        <v>296</v>
      </c>
      <c r="B9" s="42" t="s">
        <v>308</v>
      </c>
      <c r="C9" s="8" t="s">
        <v>302</v>
      </c>
      <c r="D9" s="8" t="s">
        <v>298</v>
      </c>
      <c r="E9" s="8" t="s">
        <v>309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8" t="s">
        <v>296</v>
      </c>
      <c r="B10" s="42" t="s">
        <v>310</v>
      </c>
      <c r="C10" s="8" t="s">
        <v>302</v>
      </c>
      <c r="D10" s="8" t="s">
        <v>298</v>
      </c>
      <c r="E10" s="8" t="s">
        <v>309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8" t="s">
        <v>296</v>
      </c>
      <c r="B11" s="42" t="s">
        <v>311</v>
      </c>
      <c r="C11" s="8" t="s">
        <v>302</v>
      </c>
      <c r="D11" s="8" t="s">
        <v>298</v>
      </c>
      <c r="E11" s="8" t="s">
        <v>309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8" t="s">
        <v>312</v>
      </c>
      <c r="B12" s="42" t="s">
        <v>313</v>
      </c>
      <c r="C12" s="8" t="s">
        <v>95</v>
      </c>
      <c r="D12" s="8" t="s">
        <v>298</v>
      </c>
      <c r="E12" s="8" t="s">
        <v>314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8" t="s">
        <v>312</v>
      </c>
      <c r="B13" s="42" t="s">
        <v>315</v>
      </c>
      <c r="C13" s="8" t="s">
        <v>95</v>
      </c>
      <c r="D13" s="8" t="s">
        <v>298</v>
      </c>
      <c r="E13" s="8" t="s">
        <v>314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8" t="s">
        <v>312</v>
      </c>
      <c r="B14" s="42" t="s">
        <v>316</v>
      </c>
      <c r="C14" s="8" t="s">
        <v>95</v>
      </c>
      <c r="D14" s="8" t="s">
        <v>298</v>
      </c>
      <c r="E14" s="8" t="s">
        <v>317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8" t="s">
        <v>312</v>
      </c>
      <c r="B15" s="42" t="s">
        <v>318</v>
      </c>
      <c r="C15" s="8" t="s">
        <v>95</v>
      </c>
      <c r="D15" s="8" t="s">
        <v>298</v>
      </c>
      <c r="E15" s="8" t="s">
        <v>319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8" t="s">
        <v>312</v>
      </c>
      <c r="B16" s="42" t="s">
        <v>320</v>
      </c>
      <c r="C16" s="8" t="s">
        <v>95</v>
      </c>
      <c r="D16" s="8" t="s">
        <v>298</v>
      </c>
      <c r="E16" s="8" t="s">
        <v>321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8" t="s">
        <v>312</v>
      </c>
      <c r="B17" s="42" t="s">
        <v>322</v>
      </c>
      <c r="C17" s="8" t="s">
        <v>95</v>
      </c>
      <c r="D17" s="8" t="s">
        <v>298</v>
      </c>
      <c r="E17" s="8" t="s">
        <v>323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8" t="s">
        <v>312</v>
      </c>
      <c r="B18" s="42" t="s">
        <v>324</v>
      </c>
      <c r="C18" s="8" t="s">
        <v>302</v>
      </c>
      <c r="D18" s="8" t="s">
        <v>298</v>
      </c>
      <c r="E18" s="8" t="s">
        <v>325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8" t="s">
        <v>312</v>
      </c>
      <c r="B19" s="42" t="s">
        <v>326</v>
      </c>
      <c r="C19" s="8" t="s">
        <v>302</v>
      </c>
      <c r="D19" s="8" t="s">
        <v>298</v>
      </c>
      <c r="E19" s="8" t="s">
        <v>327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8" t="s">
        <v>312</v>
      </c>
      <c r="B20" s="42" t="s">
        <v>328</v>
      </c>
      <c r="C20" s="8" t="s">
        <v>302</v>
      </c>
      <c r="D20" s="8" t="s">
        <v>298</v>
      </c>
      <c r="E20" s="8" t="s">
        <v>327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8" t="s">
        <v>329</v>
      </c>
      <c r="B21" s="42" t="s">
        <v>330</v>
      </c>
      <c r="C21" s="8" t="s">
        <v>95</v>
      </c>
      <c r="D21" s="8" t="s">
        <v>298</v>
      </c>
      <c r="E21" s="8" t="s">
        <v>331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8" t="s">
        <v>329</v>
      </c>
      <c r="B22" s="42" t="s">
        <v>332</v>
      </c>
      <c r="C22" s="8" t="s">
        <v>302</v>
      </c>
      <c r="D22" s="8" t="s">
        <v>298</v>
      </c>
      <c r="E22" s="8" t="s">
        <v>333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8" t="s">
        <v>329</v>
      </c>
      <c r="B23" s="42" t="s">
        <v>334</v>
      </c>
      <c r="C23" s="8" t="s">
        <v>302</v>
      </c>
      <c r="D23" s="8" t="s">
        <v>298</v>
      </c>
      <c r="E23" s="8" t="s">
        <v>333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8" t="s">
        <v>329</v>
      </c>
      <c r="B24" s="42" t="s">
        <v>335</v>
      </c>
      <c r="C24" s="8" t="s">
        <v>95</v>
      </c>
      <c r="D24" s="8" t="s">
        <v>298</v>
      </c>
      <c r="E24" s="8" t="s">
        <v>333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8" t="s">
        <v>329</v>
      </c>
      <c r="B25" s="42" t="s">
        <v>336</v>
      </c>
      <c r="C25" s="8" t="s">
        <v>302</v>
      </c>
      <c r="D25" s="8" t="s">
        <v>298</v>
      </c>
      <c r="E25" s="8" t="s">
        <v>337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8" t="s">
        <v>329</v>
      </c>
      <c r="B26" s="42" t="s">
        <v>338</v>
      </c>
      <c r="C26" s="8" t="s">
        <v>95</v>
      </c>
      <c r="D26" s="8" t="s">
        <v>298</v>
      </c>
      <c r="E26" s="8" t="s">
        <v>339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8" t="s">
        <v>329</v>
      </c>
      <c r="B27" s="42" t="s">
        <v>340</v>
      </c>
      <c r="C27" s="8" t="s">
        <v>302</v>
      </c>
      <c r="D27" s="8" t="s">
        <v>298</v>
      </c>
      <c r="E27" s="8" t="s">
        <v>341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8" t="s">
        <v>342</v>
      </c>
      <c r="B28" s="42" t="s">
        <v>343</v>
      </c>
      <c r="C28" s="8" t="s">
        <v>302</v>
      </c>
      <c r="D28" s="8" t="s">
        <v>298</v>
      </c>
      <c r="E28" s="8" t="s">
        <v>344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8" t="s">
        <v>342</v>
      </c>
      <c r="B29" s="42" t="s">
        <v>345</v>
      </c>
      <c r="C29" s="8" t="s">
        <v>302</v>
      </c>
      <c r="D29" s="8" t="s">
        <v>298</v>
      </c>
      <c r="E29" s="8" t="s">
        <v>346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8" t="s">
        <v>342</v>
      </c>
      <c r="B30" s="42" t="s">
        <v>347</v>
      </c>
      <c r="C30" s="8" t="s">
        <v>95</v>
      </c>
      <c r="D30" s="8" t="s">
        <v>298</v>
      </c>
      <c r="E30" s="8" t="s">
        <v>348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8" t="s">
        <v>342</v>
      </c>
      <c r="B31" s="42" t="s">
        <v>349</v>
      </c>
      <c r="C31" s="8" t="s">
        <v>95</v>
      </c>
      <c r="D31" s="8" t="s">
        <v>298</v>
      </c>
      <c r="E31" s="8" t="s">
        <v>348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8" t="s">
        <v>342</v>
      </c>
      <c r="B32" s="42" t="s">
        <v>350</v>
      </c>
      <c r="C32" s="8" t="s">
        <v>95</v>
      </c>
      <c r="D32" s="8" t="s">
        <v>298</v>
      </c>
      <c r="E32" s="8" t="s">
        <v>351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8" t="s">
        <v>342</v>
      </c>
      <c r="B33" s="42" t="s">
        <v>352</v>
      </c>
      <c r="C33" s="8" t="s">
        <v>302</v>
      </c>
      <c r="D33" s="8" t="s">
        <v>298</v>
      </c>
      <c r="E33" s="8" t="s">
        <v>351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8" t="s">
        <v>353</v>
      </c>
      <c r="B34" s="42" t="s">
        <v>354</v>
      </c>
      <c r="C34" s="8" t="s">
        <v>302</v>
      </c>
      <c r="D34" s="8" t="s">
        <v>298</v>
      </c>
      <c r="E34" s="8" t="s">
        <v>355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8" t="s">
        <v>356</v>
      </c>
      <c r="B35" s="42" t="s">
        <v>357</v>
      </c>
      <c r="C35" s="8" t="s">
        <v>302</v>
      </c>
      <c r="D35" s="8" t="s">
        <v>358</v>
      </c>
      <c r="E35" s="8" t="s">
        <v>359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8" t="s">
        <v>356</v>
      </c>
      <c r="B36" s="42" t="s">
        <v>360</v>
      </c>
      <c r="C36" s="8" t="s">
        <v>302</v>
      </c>
      <c r="D36" s="8" t="s">
        <v>358</v>
      </c>
      <c r="E36" s="8" t="s">
        <v>361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43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40" t="s">
        <v>362</v>
      </c>
      <c r="B38" s="41"/>
      <c r="C38" s="41"/>
      <c r="D38" s="41"/>
      <c r="E38" s="41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8" t="s">
        <v>363</v>
      </c>
      <c r="B39" s="42" t="s">
        <v>364</v>
      </c>
      <c r="C39" s="8" t="s">
        <v>302</v>
      </c>
      <c r="D39" s="8" t="s">
        <v>365</v>
      </c>
      <c r="E39" s="8" t="s">
        <v>366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8" t="s">
        <v>363</v>
      </c>
      <c r="B40" s="42" t="s">
        <v>367</v>
      </c>
      <c r="C40" s="8" t="s">
        <v>95</v>
      </c>
      <c r="D40" s="8" t="s">
        <v>368</v>
      </c>
      <c r="E40" s="8" t="s">
        <v>361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8" t="s">
        <v>363</v>
      </c>
      <c r="B41" s="42" t="s">
        <v>369</v>
      </c>
      <c r="C41" s="8" t="s">
        <v>302</v>
      </c>
      <c r="D41" s="8" t="s">
        <v>368</v>
      </c>
      <c r="E41" s="8" t="s">
        <v>361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8" t="s">
        <v>363</v>
      </c>
      <c r="B42" s="42" t="s">
        <v>370</v>
      </c>
      <c r="C42" s="8" t="s">
        <v>95</v>
      </c>
      <c r="D42" s="8" t="s">
        <v>368</v>
      </c>
      <c r="E42" s="8" t="s">
        <v>361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8" t="s">
        <v>371</v>
      </c>
      <c r="B43" s="42" t="s">
        <v>372</v>
      </c>
      <c r="C43" s="8" t="s">
        <v>95</v>
      </c>
      <c r="D43" s="8" t="s">
        <v>373</v>
      </c>
      <c r="E43" s="8" t="s">
        <v>374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8" t="s">
        <v>371</v>
      </c>
      <c r="B44" s="42" t="s">
        <v>375</v>
      </c>
      <c r="C44" s="8" t="s">
        <v>95</v>
      </c>
      <c r="D44" s="8" t="s">
        <v>373</v>
      </c>
      <c r="E44" s="8" t="s">
        <v>361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8" t="s">
        <v>371</v>
      </c>
      <c r="B45" s="42" t="s">
        <v>376</v>
      </c>
      <c r="C45" s="8" t="s">
        <v>95</v>
      </c>
      <c r="D45" s="8" t="s">
        <v>377</v>
      </c>
      <c r="E45" s="8" t="s">
        <v>361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8" t="s">
        <v>371</v>
      </c>
      <c r="B46" s="42" t="s">
        <v>378</v>
      </c>
      <c r="C46" s="8" t="s">
        <v>95</v>
      </c>
      <c r="D46" s="8" t="s">
        <v>379</v>
      </c>
      <c r="E46" s="8" t="s">
        <v>380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8" t="s">
        <v>381</v>
      </c>
      <c r="B47" s="42" t="s">
        <v>382</v>
      </c>
      <c r="C47" s="8" t="s">
        <v>95</v>
      </c>
      <c r="D47" s="8" t="s">
        <v>379</v>
      </c>
      <c r="E47" s="8" t="s">
        <v>383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8" t="s">
        <v>381</v>
      </c>
      <c r="B48" s="42" t="s">
        <v>384</v>
      </c>
      <c r="C48" s="8" t="s">
        <v>95</v>
      </c>
      <c r="D48" s="8" t="s">
        <v>379</v>
      </c>
      <c r="E48" s="8" t="s">
        <v>361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8" t="s">
        <v>381</v>
      </c>
      <c r="B49" s="42" t="s">
        <v>385</v>
      </c>
      <c r="C49" s="8" t="s">
        <v>95</v>
      </c>
      <c r="D49" s="8" t="s">
        <v>379</v>
      </c>
      <c r="E49" s="8" t="s">
        <v>361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8" t="s">
        <v>381</v>
      </c>
      <c r="B50" s="42" t="s">
        <v>386</v>
      </c>
      <c r="C50" s="8" t="s">
        <v>95</v>
      </c>
      <c r="D50" s="8" t="s">
        <v>379</v>
      </c>
      <c r="E50" s="8" t="s">
        <v>361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8" t="s">
        <v>381</v>
      </c>
      <c r="B51" s="42" t="s">
        <v>387</v>
      </c>
      <c r="C51" s="8" t="s">
        <v>95</v>
      </c>
      <c r="D51" s="8" t="s">
        <v>379</v>
      </c>
      <c r="E51" s="8" t="s">
        <v>361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8" t="s">
        <v>388</v>
      </c>
      <c r="B52" s="42" t="s">
        <v>102</v>
      </c>
      <c r="C52" s="8" t="s">
        <v>95</v>
      </c>
      <c r="D52" s="8" t="s">
        <v>389</v>
      </c>
      <c r="E52" s="8" t="s">
        <v>390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8" t="s">
        <v>391</v>
      </c>
      <c r="B53" s="42" t="s">
        <v>392</v>
      </c>
      <c r="C53" s="8" t="s">
        <v>302</v>
      </c>
      <c r="D53" s="8" t="s">
        <v>393</v>
      </c>
      <c r="E53" s="8" t="s">
        <v>394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44"/>
      <c r="B54" s="44"/>
      <c r="C54" s="44"/>
      <c r="D54" s="44"/>
      <c r="E54" s="44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40" t="s">
        <v>395</v>
      </c>
      <c r="B55" s="41"/>
      <c r="C55" s="41"/>
      <c r="D55" s="41"/>
      <c r="E55" s="41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45" t="s">
        <v>396</v>
      </c>
      <c r="B56" s="44"/>
      <c r="C56" s="44"/>
      <c r="D56" s="44"/>
      <c r="E56" s="44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7.63"/>
    <col customWidth="1" min="2" max="2" width="37.63"/>
    <col customWidth="1" min="3" max="4" width="27.63"/>
    <col customWidth="1" min="5" max="5" width="32.63"/>
    <col customWidth="1" min="6" max="7" width="27.63"/>
    <col customWidth="1" min="8" max="8" width="35.13"/>
    <col customWidth="1" min="9" max="10" width="27.63"/>
  </cols>
  <sheetData>
    <row r="1">
      <c r="A1" s="46" t="s">
        <v>397</v>
      </c>
      <c r="B1" s="46" t="s">
        <v>398</v>
      </c>
      <c r="C1" s="46" t="s">
        <v>6</v>
      </c>
      <c r="D1" s="46" t="s">
        <v>399</v>
      </c>
      <c r="E1" s="46" t="s">
        <v>400</v>
      </c>
      <c r="F1" s="46" t="s">
        <v>81</v>
      </c>
      <c r="G1" s="46" t="s">
        <v>401</v>
      </c>
      <c r="H1" s="46" t="s">
        <v>402</v>
      </c>
      <c r="I1" s="46" t="s">
        <v>403</v>
      </c>
      <c r="J1" s="46" t="s">
        <v>404</v>
      </c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A2" s="48" t="s">
        <v>405</v>
      </c>
      <c r="B2" s="49" t="s">
        <v>406</v>
      </c>
      <c r="C2" s="49" t="s">
        <v>407</v>
      </c>
      <c r="D2" s="49" t="s">
        <v>267</v>
      </c>
      <c r="E2" s="49" t="s">
        <v>408</v>
      </c>
      <c r="F2" s="49" t="s">
        <v>269</v>
      </c>
      <c r="G2" s="49" t="s">
        <v>409</v>
      </c>
      <c r="H2" s="49" t="s">
        <v>410</v>
      </c>
      <c r="I2" s="49" t="s">
        <v>411</v>
      </c>
      <c r="J2" s="49" t="s">
        <v>412</v>
      </c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>
      <c r="A3" s="48" t="s">
        <v>413</v>
      </c>
      <c r="B3" s="49" t="s">
        <v>414</v>
      </c>
      <c r="C3" s="49" t="s">
        <v>415</v>
      </c>
      <c r="D3" s="49" t="s">
        <v>250</v>
      </c>
      <c r="E3" s="49" t="s">
        <v>416</v>
      </c>
      <c r="F3" s="49" t="s">
        <v>417</v>
      </c>
      <c r="G3" s="49" t="s">
        <v>418</v>
      </c>
      <c r="H3" s="49" t="s">
        <v>419</v>
      </c>
      <c r="I3" s="49" t="s">
        <v>420</v>
      </c>
      <c r="J3" s="49" t="s">
        <v>421</v>
      </c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>
      <c r="A4" s="48" t="s">
        <v>422</v>
      </c>
      <c r="B4" s="49" t="s">
        <v>423</v>
      </c>
      <c r="C4" s="49" t="s">
        <v>424</v>
      </c>
      <c r="D4" s="49" t="s">
        <v>200</v>
      </c>
      <c r="E4" s="49" t="s">
        <v>425</v>
      </c>
      <c r="F4" s="49" t="s">
        <v>201</v>
      </c>
      <c r="G4" s="49" t="s">
        <v>426</v>
      </c>
      <c r="H4" s="49" t="s">
        <v>427</v>
      </c>
      <c r="I4" s="49" t="s">
        <v>428</v>
      </c>
      <c r="J4" s="49" t="s">
        <v>429</v>
      </c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>
      <c r="A5" s="48" t="s">
        <v>430</v>
      </c>
      <c r="B5" s="49" t="s">
        <v>431</v>
      </c>
      <c r="C5" s="49" t="s">
        <v>432</v>
      </c>
      <c r="D5" s="49" t="s">
        <v>433</v>
      </c>
      <c r="E5" s="49" t="s">
        <v>434</v>
      </c>
      <c r="F5" s="49" t="s">
        <v>435</v>
      </c>
      <c r="G5" s="49" t="s">
        <v>436</v>
      </c>
      <c r="H5" s="49" t="s">
        <v>437</v>
      </c>
      <c r="I5" s="49" t="s">
        <v>438</v>
      </c>
      <c r="J5" s="49" t="s">
        <v>439</v>
      </c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>
      <c r="A6" s="48" t="s">
        <v>440</v>
      </c>
      <c r="B6" s="49" t="s">
        <v>441</v>
      </c>
      <c r="C6" s="49" t="s">
        <v>442</v>
      </c>
      <c r="D6" s="49" t="s">
        <v>86</v>
      </c>
      <c r="E6" s="49" t="s">
        <v>443</v>
      </c>
      <c r="F6" s="49" t="s">
        <v>90</v>
      </c>
      <c r="G6" s="49" t="s">
        <v>444</v>
      </c>
      <c r="H6" s="49" t="s">
        <v>445</v>
      </c>
      <c r="I6" s="49" t="s">
        <v>446</v>
      </c>
      <c r="J6" s="49" t="s">
        <v>447</v>
      </c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>
      <c r="A7" s="48" t="s">
        <v>448</v>
      </c>
      <c r="B7" s="49" t="s">
        <v>449</v>
      </c>
      <c r="C7" s="49" t="s">
        <v>450</v>
      </c>
      <c r="D7" s="50"/>
      <c r="E7" s="49" t="s">
        <v>451</v>
      </c>
      <c r="F7" s="49" t="s">
        <v>452</v>
      </c>
      <c r="G7" s="49" t="s">
        <v>453</v>
      </c>
      <c r="H7" s="49" t="s">
        <v>454</v>
      </c>
      <c r="I7" s="49" t="s">
        <v>455</v>
      </c>
      <c r="J7" s="49" t="s">
        <v>456</v>
      </c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>
      <c r="A8" s="48" t="s">
        <v>457</v>
      </c>
      <c r="B8" s="49" t="s">
        <v>458</v>
      </c>
      <c r="C8" s="49" t="s">
        <v>459</v>
      </c>
      <c r="D8" s="50"/>
      <c r="E8" s="49" t="s">
        <v>460</v>
      </c>
      <c r="F8" s="49" t="s">
        <v>461</v>
      </c>
      <c r="G8" s="49" t="s">
        <v>462</v>
      </c>
      <c r="H8" s="49" t="s">
        <v>463</v>
      </c>
      <c r="I8" s="49" t="s">
        <v>464</v>
      </c>
      <c r="J8" s="49" t="s">
        <v>465</v>
      </c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>
      <c r="A9" s="51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>
      <c r="A10" s="52" t="s">
        <v>466</v>
      </c>
      <c r="B10" s="52" t="s">
        <v>467</v>
      </c>
      <c r="C10" s="52" t="s">
        <v>468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48" t="s">
        <v>469</v>
      </c>
      <c r="B11" s="49" t="s">
        <v>470</v>
      </c>
      <c r="C11" s="49" t="s">
        <v>471</v>
      </c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>
      <c r="A12" s="48" t="s">
        <v>472</v>
      </c>
      <c r="B12" s="49" t="s">
        <v>473</v>
      </c>
      <c r="C12" s="49" t="s">
        <v>474</v>
      </c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>
      <c r="A13" s="48" t="s">
        <v>475</v>
      </c>
      <c r="B13" s="49" t="s">
        <v>476</v>
      </c>
      <c r="C13" s="49" t="s">
        <v>477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>
      <c r="A14" s="48" t="s">
        <v>478</v>
      </c>
      <c r="B14" s="49" t="s">
        <v>479</v>
      </c>
      <c r="C14" s="49" t="s">
        <v>480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>
      <c r="A15" s="48" t="s">
        <v>481</v>
      </c>
      <c r="B15" s="49" t="s">
        <v>482</v>
      </c>
      <c r="C15" s="49" t="s">
        <v>483</v>
      </c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>
      <c r="A16" s="48" t="s">
        <v>484</v>
      </c>
      <c r="B16" s="49" t="s">
        <v>485</v>
      </c>
      <c r="C16" s="49" t="s">
        <v>486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>
      <c r="A17" s="48" t="s">
        <v>487</v>
      </c>
      <c r="B17" s="49" t="s">
        <v>488</v>
      </c>
      <c r="C17" s="49" t="s">
        <v>489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>
      <c r="A18" s="48" t="s">
        <v>490</v>
      </c>
      <c r="B18" s="49" t="s">
        <v>491</v>
      </c>
      <c r="C18" s="49" t="s">
        <v>492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8.0"/>
    <col customWidth="1" min="2" max="2" width="52.63"/>
    <col customWidth="1" min="3" max="5" width="27.63"/>
    <col customWidth="1" min="6" max="6" width="11.63"/>
    <col customWidth="1" min="7" max="8" width="27.63"/>
  </cols>
  <sheetData>
    <row r="1">
      <c r="A1" s="53" t="s">
        <v>493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A2" s="54" t="s">
        <v>494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>
      <c r="A3" s="55" t="s">
        <v>6</v>
      </c>
      <c r="B3" s="55" t="s">
        <v>495</v>
      </c>
      <c r="C3" s="55" t="s">
        <v>496</v>
      </c>
      <c r="D3" s="55" t="s">
        <v>497</v>
      </c>
      <c r="E3" s="55" t="s">
        <v>498</v>
      </c>
      <c r="F3" s="55" t="s">
        <v>499</v>
      </c>
      <c r="G3" s="55" t="s">
        <v>500</v>
      </c>
      <c r="H3" s="55" t="s">
        <v>501</v>
      </c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>
      <c r="A4" s="56" t="str">
        <f>'1. Tổng quan'!A9</f>
        <v>NKP | Brand | Implant</v>
      </c>
      <c r="B4" s="57">
        <v>5.0</v>
      </c>
      <c r="C4" s="57">
        <v>3.0</v>
      </c>
      <c r="D4" s="57">
        <v>5.0</v>
      </c>
      <c r="E4" s="58">
        <f t="shared" ref="E4:E12" si="1">B4*C4*D4</f>
        <v>75</v>
      </c>
      <c r="F4" s="58">
        <f t="shared" ref="F4:F12" si="2">RANK(E4,$E$4:$E$12)</f>
        <v>1</v>
      </c>
      <c r="G4" s="59" t="s">
        <v>502</v>
      </c>
      <c r="H4" s="59" t="s">
        <v>503</v>
      </c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>
      <c r="A5" s="56" t="str">
        <f>'1. Tổng quan'!A10</f>
        <v>NKP | Hot | Giá Implant</v>
      </c>
      <c r="B5" s="57">
        <v>5.0</v>
      </c>
      <c r="C5" s="57">
        <v>3.0</v>
      </c>
      <c r="D5" s="57">
        <v>4.0</v>
      </c>
      <c r="E5" s="58">
        <f t="shared" si="1"/>
        <v>60</v>
      </c>
      <c r="F5" s="58">
        <f t="shared" si="2"/>
        <v>2</v>
      </c>
      <c r="G5" s="59" t="s">
        <v>504</v>
      </c>
      <c r="H5" s="59" t="s">
        <v>505</v>
      </c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>
      <c r="A6" s="56" t="str">
        <f>'1. Tổng quan'!A11</f>
        <v>NKP | Hot | Địa điểm</v>
      </c>
      <c r="B6" s="57">
        <v>5.0</v>
      </c>
      <c r="C6" s="57">
        <v>3.0</v>
      </c>
      <c r="D6" s="57">
        <v>4.0</v>
      </c>
      <c r="E6" s="58">
        <f t="shared" si="1"/>
        <v>60</v>
      </c>
      <c r="F6" s="58">
        <f t="shared" si="2"/>
        <v>2</v>
      </c>
      <c r="G6" s="59" t="s">
        <v>504</v>
      </c>
      <c r="H6" s="59" t="s">
        <v>505</v>
      </c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>
      <c r="A7" s="56" t="str">
        <f>'1. Tổng quan'!A12</f>
        <v>NKP | Hot | Toàn hàm</v>
      </c>
      <c r="B7" s="57">
        <v>4.0</v>
      </c>
      <c r="C7" s="57">
        <v>5.0</v>
      </c>
      <c r="D7" s="57">
        <v>3.0</v>
      </c>
      <c r="E7" s="58">
        <f t="shared" si="1"/>
        <v>60</v>
      </c>
      <c r="F7" s="58">
        <f t="shared" si="2"/>
        <v>2</v>
      </c>
      <c r="G7" s="59" t="s">
        <v>506</v>
      </c>
      <c r="H7" s="59" t="s">
        <v>507</v>
      </c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>
      <c r="A8" s="56" t="str">
        <f>'1. Tổng quan'!A13</f>
        <v>NKP | Warm | Giải pháp Implant</v>
      </c>
      <c r="B8" s="57">
        <v>3.0</v>
      </c>
      <c r="C8" s="57">
        <v>3.0</v>
      </c>
      <c r="D8" s="57">
        <v>3.0</v>
      </c>
      <c r="E8" s="58">
        <f t="shared" si="1"/>
        <v>27</v>
      </c>
      <c r="F8" s="58">
        <f t="shared" si="2"/>
        <v>6</v>
      </c>
      <c r="G8" s="59" t="s">
        <v>508</v>
      </c>
      <c r="H8" s="59" t="s">
        <v>509</v>
      </c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>
      <c r="A9" s="56" t="str">
        <f>'1. Tổng quan'!A14</f>
        <v>NKP | Warm | Hãng trụ</v>
      </c>
      <c r="B9" s="57">
        <v>3.0</v>
      </c>
      <c r="C9" s="57">
        <v>4.0</v>
      </c>
      <c r="D9" s="57">
        <v>3.0</v>
      </c>
      <c r="E9" s="58">
        <f t="shared" si="1"/>
        <v>36</v>
      </c>
      <c r="F9" s="58">
        <f t="shared" si="2"/>
        <v>5</v>
      </c>
      <c r="G9" s="59" t="s">
        <v>508</v>
      </c>
      <c r="H9" s="59" t="s">
        <v>509</v>
      </c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>
      <c r="A10" s="56" t="str">
        <f>'1. Tổng quan'!A15</f>
        <v>NKP | Research | Cân nhắc</v>
      </c>
      <c r="B10" s="57">
        <v>2.0</v>
      </c>
      <c r="C10" s="57">
        <v>3.0</v>
      </c>
      <c r="D10" s="57">
        <v>2.0</v>
      </c>
      <c r="E10" s="58">
        <f t="shared" si="1"/>
        <v>12</v>
      </c>
      <c r="F10" s="58">
        <f t="shared" si="2"/>
        <v>8</v>
      </c>
      <c r="G10" s="59" t="s">
        <v>510</v>
      </c>
      <c r="H10" s="59" t="s">
        <v>509</v>
      </c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56" t="str">
        <f>'1. Tổng quan'!A16</f>
        <v>NKP | Cold | Vấn đề mất răng</v>
      </c>
      <c r="B11" s="57">
        <v>1.0</v>
      </c>
      <c r="C11" s="57">
        <v>4.0</v>
      </c>
      <c r="D11" s="57">
        <v>1.0</v>
      </c>
      <c r="E11" s="58">
        <f t="shared" si="1"/>
        <v>4</v>
      </c>
      <c r="F11" s="58">
        <f t="shared" si="2"/>
        <v>9</v>
      </c>
      <c r="G11" s="59" t="s">
        <v>511</v>
      </c>
      <c r="H11" s="59" t="s">
        <v>509</v>
      </c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>
      <c r="A12" s="56" t="str">
        <f>'1. Tổng quan'!A17</f>
        <v>NKP | Test | Đối thủ</v>
      </c>
      <c r="B12" s="57">
        <v>3.0</v>
      </c>
      <c r="C12" s="57">
        <v>3.0</v>
      </c>
      <c r="D12" s="57">
        <v>2.0</v>
      </c>
      <c r="E12" s="58">
        <f t="shared" si="1"/>
        <v>18</v>
      </c>
      <c r="F12" s="58">
        <f t="shared" si="2"/>
        <v>7</v>
      </c>
      <c r="G12" s="59" t="s">
        <v>512</v>
      </c>
      <c r="H12" s="59" t="s">
        <v>513</v>
      </c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>
      <c r="A14" s="53" t="s">
        <v>514</v>
      </c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>
      <c r="A15" s="55" t="s">
        <v>43</v>
      </c>
      <c r="B15" s="55" t="s">
        <v>515</v>
      </c>
      <c r="C15" s="55" t="s">
        <v>45</v>
      </c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>
      <c r="A16" s="59" t="s">
        <v>516</v>
      </c>
      <c r="B16" s="60">
        <f>'1. Tổng quan'!B41</f>
        <v>275000</v>
      </c>
      <c r="C16" s="59" t="s">
        <v>517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>
      <c r="A17" s="59" t="s">
        <v>518</v>
      </c>
      <c r="B17" s="60">
        <f>'1. Tổng quan'!B42</f>
        <v>2089268.756</v>
      </c>
      <c r="C17" s="59" t="s">
        <v>517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>
      <c r="A18" s="59" t="s">
        <v>519</v>
      </c>
      <c r="B18" s="60">
        <f>'1. Tổng quan'!B33*'1. Tổng quan'!B31*'1. Tổng quan'!B32</f>
        <v>8775000</v>
      </c>
      <c r="C18" s="59" t="s">
        <v>520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>
      <c r="A19" s="59" t="s">
        <v>521</v>
      </c>
      <c r="B19" s="60">
        <f>B18*'1. Tổng quan'!B30</f>
        <v>3948750</v>
      </c>
      <c r="C19" s="59" t="s">
        <v>520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>
      <c r="A21" s="55" t="s">
        <v>522</v>
      </c>
      <c r="B21" s="55" t="s">
        <v>523</v>
      </c>
      <c r="C21" s="55" t="s">
        <v>524</v>
      </c>
      <c r="D21" s="55" t="s">
        <v>525</v>
      </c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>
      <c r="A22" s="59" t="s">
        <v>526</v>
      </c>
      <c r="B22" s="61">
        <v>2.0</v>
      </c>
      <c r="C22" s="62">
        <f t="shared" ref="C22:C24" si="3">B22*$B$16</f>
        <v>550000</v>
      </c>
      <c r="D22" s="59" t="s">
        <v>527</v>
      </c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>
      <c r="A23" s="59" t="s">
        <v>528</v>
      </c>
      <c r="B23" s="61">
        <v>1.3</v>
      </c>
      <c r="C23" s="62">
        <f t="shared" si="3"/>
        <v>357500</v>
      </c>
      <c r="D23" s="59" t="s">
        <v>529</v>
      </c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>
      <c r="A24" s="59" t="s">
        <v>530</v>
      </c>
      <c r="B24" s="61">
        <v>0.8</v>
      </c>
      <c r="C24" s="62">
        <f t="shared" si="3"/>
        <v>220000</v>
      </c>
      <c r="D24" s="59" t="s">
        <v>531</v>
      </c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>
      <c r="A25" s="59" t="s">
        <v>532</v>
      </c>
      <c r="B25" s="61">
        <v>1.3</v>
      </c>
      <c r="C25" s="62">
        <f>B25*$B$17</f>
        <v>2716049.383</v>
      </c>
      <c r="D25" s="59" t="s">
        <v>533</v>
      </c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>
      <c r="A27" s="53" t="s">
        <v>534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>
      <c r="A28" s="55" t="s">
        <v>535</v>
      </c>
      <c r="B28" s="55" t="s">
        <v>536</v>
      </c>
      <c r="C28" s="55" t="s">
        <v>537</v>
      </c>
      <c r="D28" s="55" t="s">
        <v>538</v>
      </c>
      <c r="E28" s="55" t="s">
        <v>539</v>
      </c>
      <c r="F28" s="55" t="s">
        <v>540</v>
      </c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>
      <c r="A29" s="59" t="s">
        <v>541</v>
      </c>
      <c r="B29" s="59" t="s">
        <v>542</v>
      </c>
      <c r="C29" s="59" t="s">
        <v>543</v>
      </c>
      <c r="D29" s="59" t="s">
        <v>544</v>
      </c>
      <c r="E29" s="59" t="s">
        <v>545</v>
      </c>
      <c r="F29" s="59" t="s">
        <v>546</v>
      </c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>
      <c r="A30" s="59" t="s">
        <v>547</v>
      </c>
      <c r="B30" s="59" t="s">
        <v>548</v>
      </c>
      <c r="C30" s="59" t="s">
        <v>549</v>
      </c>
      <c r="D30" s="59" t="s">
        <v>550</v>
      </c>
      <c r="E30" s="59" t="s">
        <v>551</v>
      </c>
      <c r="F30" s="59" t="s">
        <v>552</v>
      </c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>
      <c r="A31" s="59" t="s">
        <v>553</v>
      </c>
      <c r="B31" s="59" t="s">
        <v>554</v>
      </c>
      <c r="C31" s="59" t="s">
        <v>555</v>
      </c>
      <c r="D31" s="59" t="s">
        <v>556</v>
      </c>
      <c r="E31" s="59" t="s">
        <v>557</v>
      </c>
      <c r="F31" s="59" t="s">
        <v>558</v>
      </c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>
      <c r="A33" s="53" t="s">
        <v>559</v>
      </c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>
      <c r="A34" s="55" t="s">
        <v>560</v>
      </c>
      <c r="B34" s="55" t="s">
        <v>522</v>
      </c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>
      <c r="A35" s="59" t="s">
        <v>561</v>
      </c>
      <c r="B35" s="59" t="s">
        <v>562</v>
      </c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59" t="s">
        <v>563</v>
      </c>
      <c r="B36" s="59" t="s">
        <v>564</v>
      </c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59" t="s">
        <v>182</v>
      </c>
      <c r="B37" s="59" t="s">
        <v>565</v>
      </c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59" t="s">
        <v>566</v>
      </c>
      <c r="B38" s="59" t="s">
        <v>567</v>
      </c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A39" s="59" t="s">
        <v>568</v>
      </c>
      <c r="B39" s="59" t="s">
        <v>569</v>
      </c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59" t="s">
        <v>339</v>
      </c>
      <c r="B40" s="59" t="s">
        <v>570</v>
      </c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59" t="s">
        <v>571</v>
      </c>
      <c r="B41" s="59" t="s">
        <v>572</v>
      </c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59" t="s">
        <v>573</v>
      </c>
      <c r="B42" s="59" t="s">
        <v>574</v>
      </c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59" t="s">
        <v>575</v>
      </c>
      <c r="B43" s="59" t="s">
        <v>576</v>
      </c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59" t="s">
        <v>577</v>
      </c>
      <c r="B44" s="59" t="s">
        <v>578</v>
      </c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53" t="s">
        <v>579</v>
      </c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A47" s="55" t="s">
        <v>580</v>
      </c>
      <c r="B47" s="55" t="s">
        <v>581</v>
      </c>
      <c r="C47" s="55" t="s">
        <v>582</v>
      </c>
      <c r="D47" s="55" t="s">
        <v>583</v>
      </c>
      <c r="E47" s="55" t="s">
        <v>584</v>
      </c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59" t="s">
        <v>585</v>
      </c>
      <c r="B48" s="59" t="s">
        <v>586</v>
      </c>
      <c r="C48" s="59" t="s">
        <v>587</v>
      </c>
      <c r="D48" s="59" t="s">
        <v>588</v>
      </c>
      <c r="E48" s="59" t="s">
        <v>589</v>
      </c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59" t="s">
        <v>590</v>
      </c>
      <c r="B49" s="59" t="s">
        <v>591</v>
      </c>
      <c r="C49" s="59" t="s">
        <v>592</v>
      </c>
      <c r="D49" s="59" t="s">
        <v>420</v>
      </c>
      <c r="E49" s="59" t="s">
        <v>593</v>
      </c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59" t="s">
        <v>594</v>
      </c>
      <c r="B50" s="59" t="s">
        <v>595</v>
      </c>
      <c r="C50" s="59" t="s">
        <v>596</v>
      </c>
      <c r="D50" s="59" t="s">
        <v>597</v>
      </c>
      <c r="E50" s="59" t="s">
        <v>593</v>
      </c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>
      <c r="A51" s="59" t="s">
        <v>598</v>
      </c>
      <c r="B51" s="59" t="s">
        <v>599</v>
      </c>
      <c r="C51" s="59" t="s">
        <v>600</v>
      </c>
      <c r="D51" s="59" t="s">
        <v>420</v>
      </c>
      <c r="E51" s="59" t="s">
        <v>593</v>
      </c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59" t="s">
        <v>601</v>
      </c>
      <c r="B52" s="59" t="s">
        <v>602</v>
      </c>
      <c r="C52" s="59" t="s">
        <v>603</v>
      </c>
      <c r="D52" s="59" t="s">
        <v>604</v>
      </c>
      <c r="E52" s="59" t="s">
        <v>589</v>
      </c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>
      <c r="A53" s="59" t="s">
        <v>605</v>
      </c>
      <c r="B53" s="59" t="s">
        <v>606</v>
      </c>
      <c r="C53" s="59" t="s">
        <v>607</v>
      </c>
      <c r="D53" s="59" t="s">
        <v>420</v>
      </c>
      <c r="E53" s="59" t="s">
        <v>608</v>
      </c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53" t="s">
        <v>609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55" t="s">
        <v>610</v>
      </c>
      <c r="B56" s="55" t="s">
        <v>611</v>
      </c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>
      <c r="A57" s="59" t="s">
        <v>612</v>
      </c>
      <c r="B57" s="59" t="s">
        <v>613</v>
      </c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59" t="s">
        <v>614</v>
      </c>
      <c r="B58" s="59" t="s">
        <v>615</v>
      </c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59" t="s">
        <v>616</v>
      </c>
      <c r="B59" s="59" t="s">
        <v>617</v>
      </c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59" t="s">
        <v>618</v>
      </c>
      <c r="B60" s="59" t="s">
        <v>619</v>
      </c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59" t="s">
        <v>620</v>
      </c>
      <c r="B61" s="59" t="s">
        <v>621</v>
      </c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59" t="s">
        <v>622</v>
      </c>
      <c r="B62" s="59" t="s">
        <v>623</v>
      </c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drawing r:id="rId1"/>
</worksheet>
</file>